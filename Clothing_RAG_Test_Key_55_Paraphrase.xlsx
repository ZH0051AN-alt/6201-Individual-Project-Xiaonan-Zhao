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_Key_30" sheetId="1" state="visible" r:id="rId1"/>
    <sheet xmlns:r="http://schemas.openxmlformats.org/officeDocument/2006/relationships" name="Evidence_Audit" sheetId="2" state="visible" r:id="rId2"/>
    <sheet xmlns:r="http://schemas.openxmlformats.org/officeDocument/2006/relationships" name="Corpus_100" sheetId="3" state="visible" r:id="rId3"/>
    <sheet xmlns:r="http://schemas.openxmlformats.org/officeDocument/2006/relationships" name="ReadMe" sheetId="4" state="visible" r:id="rId4"/>
  </sheets>
  <definedNames/>
</workbook>
</file>

<file path=xl/styles.xml><?xml version="1.0" encoding="utf-8"?>
<styleSheet xmlns="http://schemas.openxmlformats.org/spreadsheetml/2006/main">
  <numFmts count="0"/>
  <fonts count="10">
    <font>
      <name val="Carlito"/>
      <sz val="11"/>
    </font>
    <font>
      <name val="Arial"/>
      <color rgb="FF1F2937"/>
      <sz val="10"/>
    </font>
    <font>
      <name val="Arial"/>
      <b val="1"/>
      <color rgb="FF1F4E78"/>
      <sz val="16"/>
    </font>
    <font>
      <name val="Arial"/>
      <i val="1"/>
      <color rgb="FF4B5563"/>
      <sz val="10"/>
    </font>
    <font>
      <name val="Arial"/>
      <b val="1"/>
      <color rgb="FFFFFFFF"/>
      <sz val="10"/>
    </font>
    <font>
      <name val="Arial"/>
      <b val="1"/>
      <color rgb="FF1F4E78"/>
      <sz val="14"/>
    </font>
    <font>
      <name val="Arial"/>
      <b val="1"/>
      <color rgb="FF9C6500"/>
      <sz val="10"/>
    </font>
    <font>
      <name val="Arial"/>
      <color rgb="FF1F2937"/>
      <sz val="9"/>
    </font>
    <font>
      <name val="Arial"/>
      <b val="1"/>
      <color rgb="FFFFFFFF"/>
      <sz val="9"/>
    </font>
    <font>
      <name val="Arial"/>
      <i val="1"/>
      <color rgb="FF4B5563"/>
      <sz val="9"/>
    </font>
  </fonts>
  <fills count="7">
    <fill>
      <patternFill/>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
      <patternFill patternType="solid">
        <fgColor rgb="FFF2F2F2"/>
      </patternFill>
    </fill>
  </fills>
  <borders count="10">
    <border/>
    <border>
      <left style="thin">
        <color rgb="FF1F4E78"/>
      </left>
      <top style="thin">
        <color rgb="FF1F4E78"/>
      </top>
      <bottom style="thin">
        <color rgb="FF1F4E78"/>
      </bottom>
    </border>
    <border>
      <right style="thin">
        <color rgb="FF1F4E78"/>
      </right>
      <top style="thin">
        <color rgb="FF1F4E78"/>
      </top>
      <bottom style="thin">
        <color rgb="FF1F4E78"/>
      </bottom>
    </border>
    <border>
      <left style="thin">
        <color rgb="FFFFFFFF"/>
      </left>
      <right style="thin">
        <color rgb="FFFFFFFF"/>
      </right>
      <top style="thin">
        <color rgb="FFFFFFFF"/>
      </top>
      <bottom style="thin">
        <color rgb="FFFFFFFF"/>
      </bottom>
    </border>
    <border>
      <left style="thin">
        <color rgb="FFD0D7DE"/>
      </left>
      <right style="thin">
        <color rgb="FFD0D7DE"/>
      </right>
      <top style="thin">
        <color rgb="FFD0D7DE"/>
      </top>
    </border>
    <border>
      <left style="thin">
        <color rgb="FFD0D7DE"/>
      </left>
      <right style="thin">
        <color rgb="FFD0D7DE"/>
      </right>
    </border>
    <border>
      <left style="thin">
        <color rgb="FFD0D7DE"/>
      </left>
      <right style="thin">
        <color rgb="FFD0D7DE"/>
      </right>
      <bottom style="thin">
        <color rgb="FFD0D7DE"/>
      </bottom>
    </border>
    <border>
      <left style="thin">
        <color rgb="FF1F4E78"/>
      </left>
      <right style="thin">
        <color rgb="FF1F4E78"/>
      </right>
      <top style="thin">
        <color rgb="FF1F4E78"/>
      </top>
      <bottom style="thin">
        <color rgb="FF1F4E78"/>
      </bottom>
    </border>
    <border>
      <top style="thin">
        <color rgb="FF1F4E78"/>
      </top>
    </border>
    <border>
      <right style="thin">
        <color rgb="FF1F4E78"/>
      </right>
      <top style="thin">
        <color rgb="FF1F4E78"/>
      </top>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4" fillId="2" borderId="0" pivotButton="0" quotePrefix="0" xfId="0"/>
    <xf numFmtId="0" fontId="4" fillId="2" borderId="1" pivotButton="0" quotePrefix="0" xfId="0"/>
    <xf numFmtId="0" fontId="4" fillId="2" borderId="2" pivotButton="0" quotePrefix="0" xfId="0"/>
    <xf numFmtId="0" fontId="4" fillId="2" borderId="1" applyAlignment="1" pivotButton="0" quotePrefix="0" xfId="0">
      <alignment horizontal="center"/>
    </xf>
    <xf numFmtId="0" fontId="4" fillId="2" borderId="2" applyAlignment="1" pivotButton="0" quotePrefix="0" xfId="0">
      <alignment horizontal="center"/>
    </xf>
    <xf numFmtId="0" fontId="4" fillId="2" borderId="1" applyAlignment="1" pivotButton="0" quotePrefix="0" xfId="0">
      <alignment horizontal="center" vertical="center"/>
    </xf>
    <xf numFmtId="0" fontId="4" fillId="2" borderId="2" applyAlignment="1" pivotButton="0" quotePrefix="0" xfId="0">
      <alignment horizontal="center" vertical="center"/>
    </xf>
    <xf numFmtId="0" fontId="1" fillId="3" borderId="0" pivotButton="0" quotePrefix="0" xfId="0"/>
    <xf numFmtId="0" fontId="5" fillId="3" borderId="0" pivotButton="0" quotePrefix="0" xfId="0"/>
    <xf numFmtId="0" fontId="5" fillId="3" borderId="1" pivotButton="0" quotePrefix="0" xfId="0"/>
    <xf numFmtId="0" fontId="5" fillId="3" borderId="2" pivotButton="0" quotePrefix="0" xfId="0"/>
    <xf numFmtId="0" fontId="5" fillId="3" borderId="1" applyAlignment="1" pivotButton="0" quotePrefix="0" xfId="0">
      <alignment horizontal="center"/>
    </xf>
    <xf numFmtId="0" fontId="5" fillId="3" borderId="2" applyAlignment="1" pivotButton="0" quotePrefix="0" xfId="0">
      <alignment horizontal="center"/>
    </xf>
    <xf numFmtId="0" fontId="5" fillId="3" borderId="1" applyAlignment="1" pivotButton="0" quotePrefix="0" xfId="0">
      <alignment horizontal="center" vertical="center"/>
    </xf>
    <xf numFmtId="0" fontId="5" fillId="3" borderId="2" applyAlignment="1" pivotButton="0" quotePrefix="0" xfId="0">
      <alignment horizontal="center" vertical="center"/>
    </xf>
    <xf numFmtId="0" fontId="4" fillId="2" borderId="3" pivotButton="0" quotePrefix="0" xfId="0"/>
    <xf numFmtId="0" fontId="4" fillId="2" borderId="3" applyAlignment="1" pivotButton="0" quotePrefix="0" xfId="0">
      <alignment wrapText="1"/>
    </xf>
    <xf numFmtId="0" fontId="4" fillId="2" borderId="3" applyAlignment="1" pivotButton="0" quotePrefix="0" xfId="0">
      <alignment horizontal="center" wrapText="1"/>
    </xf>
    <xf numFmtId="0" fontId="4" fillId="2" borderId="3" applyAlignment="1" pivotButton="0" quotePrefix="0" xfId="0">
      <alignment horizontal="center" vertical="center" wrapText="1"/>
    </xf>
    <xf numFmtId="0" fontId="1" fillId="0" borderId="0" applyAlignment="1" pivotButton="0" quotePrefix="0" xfId="0">
      <alignment vertical="top"/>
    </xf>
    <xf numFmtId="0" fontId="1" fillId="0"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horizontal="center" vertical="top" wrapText="1"/>
    </xf>
    <xf numFmtId="0" fontId="1" fillId="0" borderId="0" applyAlignment="1" pivotButton="0" quotePrefix="0" xfId="0">
      <alignment horizontal="center" vertical="top"/>
    </xf>
    <xf numFmtId="0" fontId="1" fillId="0" borderId="0" applyAlignment="1" pivotButton="0" quotePrefix="0" xfId="0">
      <alignment horizontal="center" vertical="center"/>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1" fillId="5" borderId="0" applyAlignment="1" pivotButton="0" quotePrefix="0" xfId="0">
      <alignment horizontal="center" vertical="top" wrapText="1"/>
    </xf>
    <xf numFmtId="0" fontId="6" fillId="5" borderId="0" applyAlignment="1" pivotButton="0" quotePrefix="0" xfId="0">
      <alignment horizontal="center" vertical="top" wrapText="1"/>
    </xf>
    <xf numFmtId="0" fontId="6" fillId="5" borderId="0" applyAlignment="1" pivotButton="0" quotePrefix="0" xfId="0">
      <alignment horizontal="center" vertical="center" wrapText="1"/>
    </xf>
    <xf numFmtId="0" fontId="0" fillId="0" borderId="0" pivotButton="0" quotePrefix="0" xfId="0"/>
    <xf numFmtId="0" fontId="7" fillId="0" borderId="0" pivotButton="0" quotePrefix="0" xfId="0"/>
    <xf numFmtId="0" fontId="7" fillId="0" borderId="0" pivotButton="0" quotePrefix="0" xfId="0"/>
    <xf numFmtId="0" fontId="7" fillId="2" borderId="0" pivotButton="0" quotePrefix="0" xfId="0"/>
    <xf numFmtId="0" fontId="8" fillId="2" borderId="0" pivotButton="0" quotePrefix="0" xfId="0"/>
    <xf numFmtId="0" fontId="8" fillId="2" borderId="3" pivotButton="0" quotePrefix="0" xfId="0"/>
    <xf numFmtId="0" fontId="8" fillId="2" borderId="3" applyAlignment="1" pivotButton="0" quotePrefix="0" xfId="0">
      <alignment wrapText="1"/>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7" fillId="0" borderId="0" applyAlignment="1" pivotButton="0" quotePrefix="0" xfId="0">
      <alignment vertical="top"/>
    </xf>
    <xf numFmtId="0" fontId="7" fillId="0" borderId="0" applyAlignment="1" pivotButton="0" quotePrefix="0" xfId="0">
      <alignment vertical="top"/>
    </xf>
    <xf numFmtId="0" fontId="7" fillId="0" borderId="0" applyAlignment="1" pivotButton="0" quotePrefix="0" xfId="0">
      <alignment vertical="top" wrapText="1"/>
    </xf>
    <xf numFmtId="0" fontId="7" fillId="0" borderId="0" applyAlignment="1" pivotButton="0" quotePrefix="0" xfId="0">
      <alignment horizontal="center" vertical="top"/>
    </xf>
    <xf numFmtId="0" fontId="7" fillId="0" borderId="0" applyAlignment="1" pivotButton="0" quotePrefix="0" xfId="0">
      <alignment horizontal="center" vertical="top"/>
    </xf>
    <xf numFmtId="0" fontId="9" fillId="0" borderId="0" pivotButton="0" quotePrefix="0" xfId="0"/>
    <xf numFmtId="0" fontId="4" fillId="2" borderId="4" pivotButton="0" quotePrefix="0" xfId="0"/>
    <xf numFmtId="0" fontId="4" fillId="2" borderId="5" pivotButton="0" quotePrefix="0" xfId="0"/>
    <xf numFmtId="0" fontId="4" fillId="2" borderId="6" pivotButton="0" quotePrefix="0" xfId="0"/>
    <xf numFmtId="0" fontId="4" fillId="2" borderId="4" applyAlignment="1" pivotButton="0" quotePrefix="0" xfId="0">
      <alignment wrapText="1"/>
    </xf>
    <xf numFmtId="0" fontId="4" fillId="2" borderId="5" applyAlignment="1" pivotButton="0" quotePrefix="0" xfId="0">
      <alignment wrapText="1"/>
    </xf>
    <xf numFmtId="0" fontId="4" fillId="2" borderId="6" applyAlignment="1" pivotButton="0" quotePrefix="0" xfId="0">
      <alignment wrapText="1"/>
    </xf>
    <xf numFmtId="0" fontId="4" fillId="2" borderId="4" applyAlignment="1" pivotButton="0" quotePrefix="0" xfId="0">
      <alignment vertical="top" wrapText="1"/>
    </xf>
    <xf numFmtId="0" fontId="4" fillId="2" borderId="5" applyAlignment="1" pivotButton="0" quotePrefix="0" xfId="0">
      <alignment vertical="top" wrapText="1"/>
    </xf>
    <xf numFmtId="0" fontId="4" fillId="2" borderId="6" applyAlignment="1" pivotButton="0" quotePrefix="0" xfId="0">
      <alignment vertical="top" wrapText="1"/>
    </xf>
    <xf numFmtId="0" fontId="1" fillId="6" borderId="0" pivotButton="0" quotePrefix="0" xfId="0"/>
    <xf numFmtId="0" fontId="1" fillId="6" borderId="4" pivotButton="0" quotePrefix="0" xfId="0"/>
    <xf numFmtId="0" fontId="1" fillId="6" borderId="5" pivotButton="0" quotePrefix="0" xfId="0"/>
    <xf numFmtId="0" fontId="1" fillId="6" borderId="6" pivotButton="0" quotePrefix="0" xfId="0"/>
    <xf numFmtId="0" fontId="1" fillId="6" borderId="4" applyAlignment="1" pivotButton="0" quotePrefix="0" xfId="0">
      <alignment wrapText="1"/>
    </xf>
    <xf numFmtId="0" fontId="1" fillId="6" borderId="5" applyAlignment="1" pivotButton="0" quotePrefix="0" xfId="0">
      <alignment wrapText="1"/>
    </xf>
    <xf numFmtId="0" fontId="1" fillId="6" borderId="6" applyAlignment="1" pivotButton="0" quotePrefix="0" xfId="0">
      <alignment wrapText="1"/>
    </xf>
    <xf numFmtId="0" fontId="1" fillId="6" borderId="4" applyAlignment="1" pivotButton="0" quotePrefix="0" xfId="0">
      <alignment vertical="top" wrapText="1"/>
    </xf>
    <xf numFmtId="0" fontId="1" fillId="6" borderId="5" applyAlignment="1" pivotButton="0" quotePrefix="0" xfId="0">
      <alignment vertical="top" wrapText="1"/>
    </xf>
    <xf numFmtId="0" fontId="1" fillId="6" borderId="6" applyAlignment="1" pivotButton="0" quotePrefix="0" xfId="0">
      <alignment vertical="top" wrapText="1"/>
    </xf>
    <xf numFmtId="0" fontId="4" fillId="2" borderId="7" applyAlignment="1" pivotButton="0" quotePrefix="0" xfId="0">
      <alignment horizontal="center" vertical="center"/>
    </xf>
    <xf numFmtId="0" fontId="0" fillId="0" borderId="2" pivotButton="0" quotePrefix="0" xfId="0"/>
    <xf numFmtId="0" fontId="5" fillId="3" borderId="7" applyAlignment="1" pivotButton="0" quotePrefix="0" xfId="0">
      <alignment horizontal="center"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estKeyTable" displayName="TestKeyTable" ref="A9:M39" headerRowCount="1" totalsRowCount="0" totalsRowShown="0">
  <tableColumns count="13">
    <tableColumn id="1" name="Question_ID"/>
    <tableColumn id="2" name="Clothing_ID"/>
    <tableColumn id="3" name="Class_Name"/>
    <tableColumn id="4" name="Test_Group"/>
    <tableColumn id="5" name="Topic"/>
    <tableColumn id="6" name="Answerable"/>
    <tableColumn id="7" name="Question"/>
    <tableColumn id="8" name="Gold_Review_IDs"/>
    <tableColumn id="9" name="Supported_Facts"/>
    <tableColumn id="10" name="Gold_Answer"/>
    <tableColumn id="11" name="Expected_Action"/>
    <tableColumn id="12" name="Gold_ID_Count"/>
    <tableColumn id="13" name="Question_Set_Use"/>
  </tableColumns>
  <tableStyleInfo name="TableStyleMedium2" showFirstColumn="0" showLastColumn="0" showRowStripes="1" showColumnStripes="0"/>
</table>
</file>

<file path=xl/tables/table2.xml><?xml version="1.0" encoding="utf-8"?>
<table xmlns="http://schemas.openxmlformats.org/spreadsheetml/2006/main" id="2" name="EvidenceAuditTable" displayName="EvidenceAuditTable" ref="A5:F55" headerRowCount="1" totalsRowCount="0" totalsRowShown="0">
  <tableColumns count="6">
    <tableColumn id="1" name="Question_ID"/>
    <tableColumn id="2" name="Clothing_ID"/>
    <tableColumn id="3" name="Topic"/>
    <tableColumn id="4" name="Review_ID"/>
    <tableColumn id="5" name="Exact_Review_Text"/>
    <tableColumn id="6" name="Why_Relevant"/>
  </tableColumns>
  <tableStyleInfo name="TableStyleMedium2" showFirstColumn="0" showLastColumn="0" showRowStripes="1" showColumnStripes="0"/>
</table>
</file>

<file path=xl/tables/table3.xml><?xml version="1.0" encoding="utf-8"?>
<table xmlns="http://schemas.openxmlformats.org/spreadsheetml/2006/main" id="3" name="CorpusTable" displayName="CorpusTable" ref="A1:O101" headerRowCount="1" totalsRowCount="0" totalsRowShown="0">
  <tableColumns count="15">
    <tableColumn id="1" name="Corpus_Review_ID"/>
    <tableColumn id="2" name="Source_Review_ID"/>
    <tableColumn id="3" name="Clothing_ID"/>
    <tableColumn id="4" name="Question_Set_Use"/>
    <tableColumn id="5" name="Title_Clean"/>
    <tableColumn id="6" name="Review_Text_Clean"/>
    <tableColumn id="7" name="Rating"/>
    <tableColumn id="8" name="Recommended_IND"/>
    <tableColumn id="9" name="Positive_Feedback_Count"/>
    <tableColumn id="10" name="Division_Name"/>
    <tableColumn id="11" name="Department_Name"/>
    <tableColumn id="12" name="Class_Name"/>
    <tableColumn id="13" name="Text_Length_Chars"/>
    <tableColumn id="14" name="Fit_Keyword_Flag"/>
    <tableColumn id="15" name="Quality_Keyword_Fla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FF1F4E78"/>
    <outlinePr summaryBelow="1" summaryRight="1"/>
    <pageSetUpPr/>
  </sheetPr>
  <dimension ref="A1:M64"/>
  <sheetViews>
    <sheetView showGridLines="0" workbookViewId="0">
      <pane xSplit="3" ySplit="9" topLeftCell="D10" activePane="bottomRight" state="frozen"/>
      <selection activeCell="A1" sqref="A1"/>
    </sheetView>
  </sheetViews>
  <sheetFormatPr baseColWidth="8" defaultRowHeight="15"/>
  <cols>
    <col width="11" customWidth="1" style="36" min="1" max="1"/>
    <col width="13" customWidth="1" style="36" min="2" max="2"/>
    <col width="14" customWidth="1" style="36" min="3" max="3"/>
    <col width="16" customWidth="1" style="36" min="4" max="4"/>
    <col width="11" customWidth="1" style="36" min="5" max="5"/>
    <col width="12" customWidth="1" style="36" min="6" max="6"/>
    <col width="48" customWidth="1" style="36" min="7" max="7"/>
    <col width="22" customWidth="1" style="36" min="8" max="8"/>
    <col width="58" customWidth="1" style="36" min="9" max="9"/>
    <col width="74" customWidth="1" style="36" min="10" max="10"/>
    <col width="18" customWidth="1" style="36" min="11" max="11"/>
    <col width="15" customWidth="1" style="36" min="12" max="12"/>
    <col width="20" customWidth="1" style="36" min="13" max="13"/>
  </cols>
  <sheetData>
    <row r="1">
      <c r="A1" s="1" t="n"/>
      <c r="B1" s="1" t="n"/>
      <c r="C1" s="1" t="n"/>
      <c r="D1" s="1" t="n"/>
      <c r="E1" s="1" t="n"/>
      <c r="F1" s="1" t="n"/>
      <c r="G1" s="1" t="n"/>
      <c r="H1" s="1" t="n"/>
      <c r="I1" s="1" t="n"/>
      <c r="J1" s="1" t="n"/>
      <c r="K1" s="1" t="n"/>
      <c r="L1" s="1" t="n"/>
      <c r="M1" s="1" t="n"/>
    </row>
    <row r="2">
      <c r="A2" s="2" t="inlineStr">
        <is>
          <t>Clothing review RAG evaluation key</t>
        </is>
      </c>
      <c r="B2" s="1" t="n"/>
      <c r="C2" s="1" t="n"/>
      <c r="D2" s="1" t="n"/>
      <c r="E2" s="1" t="n"/>
      <c r="F2" s="1" t="n"/>
      <c r="G2" s="1" t="n"/>
      <c r="H2" s="1" t="n"/>
      <c r="I2" s="1" t="n"/>
      <c r="J2" s="1" t="n"/>
      <c r="K2" s="1" t="n"/>
      <c r="L2" s="1" t="n"/>
      <c r="M2" s="1" t="n"/>
    </row>
    <row r="3">
      <c r="A3" s="3" t="inlineStr">
        <is>
          <t>Fixed before retrieval runs. Use only Final_Evaluation Clothing IDs; do not revise gold evidence after seeing model results.</t>
        </is>
      </c>
      <c r="B3" s="1" t="n"/>
      <c r="C3" s="1" t="n"/>
      <c r="D3" s="1" t="n"/>
      <c r="E3" s="1" t="n"/>
      <c r="F3" s="1" t="n"/>
      <c r="G3" s="1" t="n"/>
      <c r="H3" s="1" t="n"/>
      <c r="I3" s="1" t="n"/>
      <c r="J3" s="1" t="n"/>
      <c r="K3" s="1" t="n"/>
      <c r="L3" s="1" t="n"/>
      <c r="M3" s="1" t="n"/>
    </row>
    <row r="4" ht="25" customHeight="1" s="36">
      <c r="A4" s="70" t="inlineStr">
        <is>
          <t>Total questions</t>
        </is>
      </c>
      <c r="B4" s="71" t="n"/>
      <c r="C4" s="70" t="inlineStr">
        <is>
          <t>Answerable</t>
        </is>
      </c>
      <c r="D4" s="71" t="n"/>
      <c r="E4" s="70" t="inlineStr">
        <is>
          <t>Unanswerable</t>
        </is>
      </c>
      <c r="F4" s="71" t="n"/>
      <c r="G4" s="70" t="inlineStr">
        <is>
          <t>Fit questions</t>
        </is>
      </c>
      <c r="H4" s="71" t="n"/>
      <c r="I4" s="70" t="inlineStr">
        <is>
          <t>Quality questions</t>
        </is>
      </c>
      <c r="J4" s="71" t="n"/>
      <c r="K4" s="70" t="inlineStr">
        <is>
          <t>Gold evidence rows</t>
        </is>
      </c>
      <c r="L4" s="71" t="n"/>
      <c r="M4" s="1" t="n"/>
    </row>
    <row r="5" ht="25" customHeight="1" s="36">
      <c r="A5" s="72">
        <f>COUNTA(A10:A64)</f>
        <v/>
      </c>
      <c r="B5" s="71" t="n"/>
      <c r="C5" s="72">
        <f>COUNTIFS(F10:F64,"Yes")</f>
        <v/>
      </c>
      <c r="D5" s="71" t="n"/>
      <c r="E5" s="72">
        <f>COUNTIFS(F10:F64,"No")</f>
        <v/>
      </c>
      <c r="F5" s="71" t="n"/>
      <c r="G5" s="72">
        <f>COUNTIFS(D10:D64,"Fit")</f>
        <v/>
      </c>
      <c r="H5" s="71" t="n"/>
      <c r="I5" s="72">
        <f>COUNTIFS(D10:D64,"Quality")</f>
        <v/>
      </c>
      <c r="J5" s="71" t="n"/>
      <c r="K5" s="72">
        <f>SUM(L10:L64)</f>
        <v/>
      </c>
      <c r="L5" s="71" t="n"/>
      <c r="M5" s="1" t="n"/>
    </row>
    <row r="6">
      <c r="A6" s="1" t="n"/>
      <c r="B6" s="1" t="n"/>
      <c r="C6" s="1" t="n"/>
      <c r="D6" s="1" t="n"/>
      <c r="E6" s="1" t="n"/>
      <c r="F6" s="1" t="n"/>
      <c r="G6" s="1" t="n"/>
      <c r="H6" s="1" t="n"/>
      <c r="I6" s="1" t="n"/>
      <c r="J6" s="1" t="n"/>
      <c r="K6" s="1" t="n"/>
      <c r="L6" s="1" t="n"/>
      <c r="M6" s="1" t="n"/>
    </row>
    <row r="7">
      <c r="A7" s="3" t="inlineStr">
        <is>
          <t>Retrieval@3 is scored on the 25 answerable questions. The 5 unanswerable questions are scored separately for correct abstention.</t>
        </is>
      </c>
      <c r="B7" s="1" t="n"/>
      <c r="C7" s="1" t="n"/>
      <c r="D7" s="1" t="n"/>
      <c r="E7" s="1" t="n"/>
      <c r="F7" s="1" t="n"/>
      <c r="G7" s="1" t="n"/>
      <c r="H7" s="1" t="n"/>
      <c r="I7" s="1" t="n"/>
      <c r="J7" s="1" t="n"/>
      <c r="K7" s="1" t="n"/>
      <c r="L7" s="1" t="n"/>
      <c r="M7" s="1" t="n"/>
    </row>
    <row r="8">
      <c r="A8" s="1" t="n"/>
      <c r="B8" s="1" t="n"/>
      <c r="C8" s="1" t="n"/>
      <c r="D8" s="1" t="n"/>
      <c r="E8" s="1" t="n"/>
      <c r="F8" s="1" t="n"/>
      <c r="G8" s="1" t="n"/>
      <c r="H8" s="1" t="n"/>
      <c r="I8" s="1" t="n"/>
      <c r="J8" s="1" t="n"/>
      <c r="K8" s="1" t="n"/>
      <c r="L8" s="1" t="n"/>
      <c r="M8" s="1" t="n"/>
    </row>
    <row r="9" ht="36" customHeight="1" s="36">
      <c r="A9" s="23" t="inlineStr">
        <is>
          <t>Question_ID</t>
        </is>
      </c>
      <c r="B9" s="23" t="inlineStr">
        <is>
          <t>Clothing_ID</t>
        </is>
      </c>
      <c r="C9" s="23" t="inlineStr">
        <is>
          <t>Class_Name</t>
        </is>
      </c>
      <c r="D9" s="23" t="inlineStr">
        <is>
          <t>Test_Group</t>
        </is>
      </c>
      <c r="E9" s="23" t="inlineStr">
        <is>
          <t>Topic</t>
        </is>
      </c>
      <c r="F9" s="23" t="inlineStr">
        <is>
          <t>Answerable</t>
        </is>
      </c>
      <c r="G9" s="23" t="inlineStr">
        <is>
          <t>Question</t>
        </is>
      </c>
      <c r="H9" s="23" t="inlineStr">
        <is>
          <t>Gold_Review_IDs</t>
        </is>
      </c>
      <c r="I9" s="23" t="inlineStr">
        <is>
          <t>Supported_Facts</t>
        </is>
      </c>
      <c r="J9" s="23" t="inlineStr">
        <is>
          <t>Gold_Answer</t>
        </is>
      </c>
      <c r="K9" s="23" t="inlineStr">
        <is>
          <t>Expected_Action</t>
        </is>
      </c>
      <c r="L9" s="23" t="inlineStr">
        <is>
          <t>Gold_ID_Count</t>
        </is>
      </c>
      <c r="M9" s="23" t="inlineStr">
        <is>
          <t>Question_Set_Use</t>
        </is>
      </c>
    </row>
    <row r="10" ht="84" customHeight="1" s="36">
      <c r="A10" s="29" t="inlineStr">
        <is>
          <t>Q01</t>
        </is>
      </c>
      <c r="B10" s="29" t="n">
        <v>836</v>
      </c>
      <c r="C10" s="26" t="inlineStr">
        <is>
          <t>Blouses</t>
        </is>
      </c>
      <c r="D10" s="30" t="inlineStr">
        <is>
          <t>Fit</t>
        </is>
      </c>
      <c r="E10" s="26" t="inlineStr">
        <is>
          <t>Fit</t>
        </is>
      </c>
      <c r="F10" s="26" t="inlineStr">
        <is>
          <t>Yes</t>
        </is>
      </c>
      <c r="G10" s="25" t="inlineStr">
        <is>
          <t>A shopper usually wears size 8. Is there evidence that they may need to size up in this blouse?</t>
        </is>
      </c>
      <c r="H10" s="27" t="inlineStr">
        <is>
          <t>R006</t>
        </is>
      </c>
      <c r="I10" s="25" t="inlineStr">
        <is>
          <t>A reviewer who usually wore size 8 needed size 10 and said this brand tends to run a little small.</t>
        </is>
      </c>
      <c r="J10" s="25" t="inlineStr">
        <is>
          <t>Yes. One reviewer who usually wore a size 8 needed a size 10 and said the brand tends to run a little small. [R006]</t>
        </is>
      </c>
      <c r="K10" s="27" t="inlineStr">
        <is>
          <t>Answer</t>
        </is>
      </c>
      <c r="L10" s="28">
        <f>IF(F10="No",0,LEN(H10)-LEN(SUBSTITUTE(H10,",",""))+1)</f>
        <v/>
      </c>
      <c r="M10" s="28" t="inlineStr">
        <is>
          <t>Final_Evaluation</t>
        </is>
      </c>
    </row>
    <row r="11" ht="84" customHeight="1" s="36">
      <c r="A11" s="29" t="inlineStr">
        <is>
          <t>Q02</t>
        </is>
      </c>
      <c r="B11" s="29" t="n">
        <v>836</v>
      </c>
      <c r="C11" s="26" t="inlineStr">
        <is>
          <t>Blouses</t>
        </is>
      </c>
      <c r="D11" s="30" t="inlineStr">
        <is>
          <t>Fit</t>
        </is>
      </c>
      <c r="E11" s="26" t="inlineStr">
        <is>
          <t>Fit</t>
        </is>
      </c>
      <c r="F11" s="26" t="inlineStr">
        <is>
          <t>Yes</t>
        </is>
      </c>
      <c r="G11" s="25" t="inlineStr">
        <is>
          <t>Did any reviewer find this blouse oversized or unusually long?</t>
        </is>
      </c>
      <c r="H11" s="27" t="inlineStr">
        <is>
          <t>R001</t>
        </is>
      </c>
      <c r="I11" s="25" t="inlineStr">
        <is>
          <t>One reviewer said it looked oversized and the back nearly reached the tops of their knees.</t>
        </is>
      </c>
      <c r="J11" s="25" t="inlineStr">
        <is>
          <t>Yes. One reviewer said the blouse looked oversized and the back almost reached the tops of their knees. [R001]</t>
        </is>
      </c>
      <c r="K11" s="27" t="inlineStr">
        <is>
          <t>Answer</t>
        </is>
      </c>
      <c r="L11" s="28">
        <f>IF(F11="No",0,LEN(H11)-LEN(SUBSTITUTE(H11,",",""))+1)</f>
        <v/>
      </c>
      <c r="M11" s="28" t="inlineStr">
        <is>
          <t>Final_Evaluation</t>
        </is>
      </c>
    </row>
    <row r="12" ht="84" customHeight="1" s="36">
      <c r="A12" s="29" t="inlineStr">
        <is>
          <t>Q03</t>
        </is>
      </c>
      <c r="B12" s="29" t="n">
        <v>836</v>
      </c>
      <c r="C12" s="26" t="inlineStr">
        <is>
          <t>Blouses</t>
        </is>
      </c>
      <c r="D12" s="31" t="inlineStr">
        <is>
          <t>Quality</t>
        </is>
      </c>
      <c r="E12" s="26" t="inlineStr">
        <is>
          <t>Quality</t>
        </is>
      </c>
      <c r="F12" s="26" t="inlineStr">
        <is>
          <t>Yes</t>
        </is>
      </c>
      <c r="G12" s="25" t="inlineStr">
        <is>
          <t>Is the fabric sheer enough that a camisole may be needed?</t>
        </is>
      </c>
      <c r="H12" s="27" t="inlineStr">
        <is>
          <t>R004, R005, R007</t>
        </is>
      </c>
      <c r="I12" s="25" t="inlineStr">
        <is>
          <t>Three reviewers described the fabric as slightly or somewhat sheer; one recommended a camisole for work.</t>
        </is>
      </c>
      <c r="J12" s="25" t="inlineStr">
        <is>
          <t>Yes. Reviewers described the fabric as slightly or somewhat sheer. One recommended a camisole for work, while another said a nude bra might be enough outside work. [R004, R005, R007]</t>
        </is>
      </c>
      <c r="K12" s="27" t="inlineStr">
        <is>
          <t>Answer</t>
        </is>
      </c>
      <c r="L12" s="28">
        <f>IF(F12="No",0,LEN(H12)-LEN(SUBSTITUTE(H12,",",""))+1)</f>
        <v/>
      </c>
      <c r="M12" s="28" t="inlineStr">
        <is>
          <t>Final_Evaluation</t>
        </is>
      </c>
    </row>
    <row r="13" ht="84" customHeight="1" s="36">
      <c r="A13" s="29" t="inlineStr">
        <is>
          <t>Q04</t>
        </is>
      </c>
      <c r="B13" s="29" t="n">
        <v>836</v>
      </c>
      <c r="C13" s="26" t="inlineStr">
        <is>
          <t>Blouses</t>
        </is>
      </c>
      <c r="D13" s="31" t="inlineStr">
        <is>
          <t>Quality</t>
        </is>
      </c>
      <c r="E13" s="26" t="inlineStr">
        <is>
          <t>Quality</t>
        </is>
      </c>
      <c r="F13" s="26" t="inlineStr">
        <is>
          <t>Yes</t>
        </is>
      </c>
      <c r="G13" s="25" t="inlineStr">
        <is>
          <t>Do reviewers describe the top as lightweight and suitable for warm weather?</t>
        </is>
      </c>
      <c r="H13" s="27" t="inlineStr">
        <is>
          <t>R005, R007, R008</t>
        </is>
      </c>
      <c r="I13" s="25" t="inlineStr">
        <is>
          <t>Reviewers described lightweight fabric, summer use, and keeping cool.</t>
        </is>
      </c>
      <c r="J13" s="25" t="inlineStr">
        <is>
          <t>Yes. Reviewers described the fabric as lightweight and suitable for summer or keeping cool. [R005, R007, R008]</t>
        </is>
      </c>
      <c r="K13" s="27" t="inlineStr">
        <is>
          <t>Answer</t>
        </is>
      </c>
      <c r="L13" s="28">
        <f>IF(F13="No",0,LEN(H13)-LEN(SUBSTITUTE(H13,",",""))+1)</f>
        <v/>
      </c>
      <c r="M13" s="28" t="inlineStr">
        <is>
          <t>Final_Evaluation</t>
        </is>
      </c>
    </row>
    <row r="14" ht="84" customHeight="1" s="36">
      <c r="A14" s="29" t="inlineStr">
        <is>
          <t>Q05</t>
        </is>
      </c>
      <c r="B14" s="29" t="n">
        <v>850</v>
      </c>
      <c r="C14" s="26" t="inlineStr">
        <is>
          <t>Blouses</t>
        </is>
      </c>
      <c r="D14" s="30" t="inlineStr">
        <is>
          <t>Fit</t>
        </is>
      </c>
      <c r="E14" s="26" t="inlineStr">
        <is>
          <t>Fit</t>
        </is>
      </c>
      <c r="F14" s="26" t="inlineStr">
        <is>
          <t>Yes</t>
        </is>
      </c>
      <c r="G14" s="25" t="inlineStr">
        <is>
          <t>Does this blouse run wide or hide the waist?</t>
        </is>
      </c>
      <c r="H14" s="27" t="inlineStr">
        <is>
          <t>R013, R015</t>
        </is>
      </c>
      <c r="I14" s="25" t="inlineStr">
        <is>
          <t>Two reviewers found it wide; one said the width completely hid the waist.</t>
        </is>
      </c>
      <c r="J14" s="25" t="inlineStr">
        <is>
          <t>Yes. Two reviewers found the blouse wide; one called it cropped and wide, and another said it was so wide that it completely hid the waist. [R013, R015]</t>
        </is>
      </c>
      <c r="K14" s="27" t="inlineStr">
        <is>
          <t>Answer</t>
        </is>
      </c>
      <c r="L14" s="28">
        <f>IF(F14="No",0,LEN(H14)-LEN(SUBSTITUTE(H14,",",""))+1)</f>
        <v/>
      </c>
      <c r="M14" s="28" t="inlineStr">
        <is>
          <t>Final_Evaluation</t>
        </is>
      </c>
    </row>
    <row r="15" ht="84" customHeight="1" s="36">
      <c r="A15" s="29" t="inlineStr">
        <is>
          <t>Q06</t>
        </is>
      </c>
      <c r="B15" s="29" t="n">
        <v>850</v>
      </c>
      <c r="C15" s="26" t="inlineStr">
        <is>
          <t>Blouses</t>
        </is>
      </c>
      <c r="D15" s="30" t="inlineStr">
        <is>
          <t>Fit</t>
        </is>
      </c>
      <c r="E15" s="26" t="inlineStr">
        <is>
          <t>Fit</t>
        </is>
      </c>
      <c r="F15" s="26" t="inlineStr">
        <is>
          <t>Yes</t>
        </is>
      </c>
      <c r="G15" s="25" t="inlineStr">
        <is>
          <t>Is this blouse reported as true to size?</t>
        </is>
      </c>
      <c r="H15" s="27" t="inlineStr">
        <is>
          <t>R016, R018</t>
        </is>
      </c>
      <c r="I15" s="25" t="inlineStr">
        <is>
          <t>Two reviewers explicitly said it fits true to size.</t>
        </is>
      </c>
      <c r="J15" s="25" t="inlineStr">
        <is>
          <t>Yes. Two reviewers explicitly said the blouse fits true to size. [R016, R018]</t>
        </is>
      </c>
      <c r="K15" s="27" t="inlineStr">
        <is>
          <t>Answer</t>
        </is>
      </c>
      <c r="L15" s="28">
        <f>IF(F15="No",0,LEN(H15)-LEN(SUBSTITUTE(H15,",",""))+1)</f>
        <v/>
      </c>
      <c r="M15" s="28" t="inlineStr">
        <is>
          <t>Final_Evaluation</t>
        </is>
      </c>
    </row>
    <row r="16" ht="84" customHeight="1" s="36">
      <c r="A16" s="29" t="inlineStr">
        <is>
          <t>Q07</t>
        </is>
      </c>
      <c r="B16" s="29" t="n">
        <v>850</v>
      </c>
      <c r="C16" s="26" t="inlineStr">
        <is>
          <t>Blouses</t>
        </is>
      </c>
      <c r="D16" s="31" t="inlineStr">
        <is>
          <t>Quality</t>
        </is>
      </c>
      <c r="E16" s="26" t="inlineStr">
        <is>
          <t>Quality</t>
        </is>
      </c>
      <c r="F16" s="26" t="inlineStr">
        <is>
          <t>Yes</t>
        </is>
      </c>
      <c r="G16" s="25" t="inlineStr">
        <is>
          <t>Is the material thin or sheer?</t>
        </is>
      </c>
      <c r="H16" s="27" t="inlineStr">
        <is>
          <t>R013, R018</t>
        </is>
      </c>
      <c r="I16" s="25" t="inlineStr">
        <is>
          <t>Two reviewers described the material as very sheer; one also called it very thin.</t>
        </is>
      </c>
      <c r="J16" s="25" t="inlineStr">
        <is>
          <t>Yes. One reviewer called the blouse very sheer, and another said the material was very thin and very sheer. [R013, R018]</t>
        </is>
      </c>
      <c r="K16" s="27" t="inlineStr">
        <is>
          <t>Answer</t>
        </is>
      </c>
      <c r="L16" s="28">
        <f>IF(F16="No",0,LEN(H16)-LEN(SUBSTITUTE(H16,",",""))+1)</f>
        <v/>
      </c>
      <c r="M16" s="28" t="inlineStr">
        <is>
          <t>Final_Evaluation</t>
        </is>
      </c>
    </row>
    <row r="17" ht="84" customHeight="1" s="36">
      <c r="A17" s="29" t="inlineStr">
        <is>
          <t>Q08</t>
        </is>
      </c>
      <c r="B17" s="29" t="n">
        <v>850</v>
      </c>
      <c r="C17" s="26" t="inlineStr">
        <is>
          <t>Blouses</t>
        </is>
      </c>
      <c r="D17" s="32" t="inlineStr">
        <is>
          <t>Unanswerable</t>
        </is>
      </c>
      <c r="E17" s="32" t="inlineStr">
        <is>
          <t>Quality</t>
        </is>
      </c>
      <c r="F17" s="32" t="inlineStr">
        <is>
          <t>No</t>
        </is>
      </c>
      <c r="G17" s="25" t="inlineStr">
        <is>
          <t>Does the blouse shrink or lose its shape after repeated washing?</t>
        </is>
      </c>
      <c r="H17" s="27" t="str"/>
      <c r="I17" s="25" t="inlineStr">
        <is>
          <t>No review for Clothing ID 850 reports repeated-wash shrinkage or shape loss.</t>
        </is>
      </c>
      <c r="J17" s="25" t="inlineStr">
        <is>
          <t>I don't know. The available reviews do not provide enough evidence.</t>
        </is>
      </c>
      <c r="K17" s="35" t="inlineStr">
        <is>
          <t>I don't know</t>
        </is>
      </c>
      <c r="L17" s="28">
        <f>IF(F17="No",0,LEN(H17)-LEN(SUBSTITUTE(H17,",",""))+1)</f>
        <v/>
      </c>
      <c r="M17" s="28" t="inlineStr">
        <is>
          <t>Final_Evaluation</t>
        </is>
      </c>
    </row>
    <row r="18" ht="84" customHeight="1" s="36">
      <c r="A18" s="29" t="inlineStr">
        <is>
          <t>Q09</t>
        </is>
      </c>
      <c r="B18" s="29" t="n">
        <v>862</v>
      </c>
      <c r="C18" s="26" t="inlineStr">
        <is>
          <t>Knits</t>
        </is>
      </c>
      <c r="D18" s="30" t="inlineStr">
        <is>
          <t>Fit</t>
        </is>
      </c>
      <c r="E18" s="26" t="inlineStr">
        <is>
          <t>Fit</t>
        </is>
      </c>
      <c r="F18" s="26" t="inlineStr">
        <is>
          <t>Yes</t>
        </is>
      </c>
      <c r="G18" s="25" t="inlineStr">
        <is>
          <t>Could the top feel tight across the chest in the usual size?</t>
        </is>
      </c>
      <c r="H18" s="27" t="inlineStr">
        <is>
          <t>R022</t>
        </is>
      </c>
      <c r="I18" s="25" t="inlineStr">
        <is>
          <t>A reviewer found their usual medium tight across the chest and would size up.</t>
        </is>
      </c>
      <c r="J18" s="25" t="inlineStr">
        <is>
          <t>Yes. One reviewer said their usual medium fit tight across the chest and that they would size up. [R022]</t>
        </is>
      </c>
      <c r="K18" s="27" t="inlineStr">
        <is>
          <t>Answer</t>
        </is>
      </c>
      <c r="L18" s="28">
        <f>IF(F18="No",0,LEN(H18)-LEN(SUBSTITUTE(H18,",",""))+1)</f>
        <v/>
      </c>
      <c r="M18" s="28" t="inlineStr">
        <is>
          <t>Final_Evaluation</t>
        </is>
      </c>
    </row>
    <row r="19" ht="84" customHeight="1" s="36">
      <c r="A19" s="29" t="inlineStr">
        <is>
          <t>Q10</t>
        </is>
      </c>
      <c r="B19" s="29" t="n">
        <v>862</v>
      </c>
      <c r="C19" s="26" t="inlineStr">
        <is>
          <t>Knits</t>
        </is>
      </c>
      <c r="D19" s="30" t="inlineStr">
        <is>
          <t>Fit</t>
        </is>
      </c>
      <c r="E19" s="26" t="inlineStr">
        <is>
          <t>Fit</t>
        </is>
      </c>
      <c r="F19" s="26" t="inlineStr">
        <is>
          <t>Yes</t>
        </is>
      </c>
      <c r="G19" s="25" t="inlineStr">
        <is>
          <t>Does this top run large enough to consider sizing down?</t>
        </is>
      </c>
      <c r="H19" s="27" t="inlineStr">
        <is>
          <t>R024, R025, R027</t>
        </is>
      </c>
      <c r="I19" s="25" t="inlineStr">
        <is>
          <t>Three reviewers described it as a little large, running big, or requiring a smaller size.</t>
        </is>
      </c>
      <c r="J19" s="25" t="inlineStr">
        <is>
          <t>Yes. Three reviewers described the top as a little large, running big, or needing a small instead of their usual medium. [R024, R025, R027]</t>
        </is>
      </c>
      <c r="K19" s="27" t="inlineStr">
        <is>
          <t>Answer</t>
        </is>
      </c>
      <c r="L19" s="28">
        <f>IF(F19="No",0,LEN(H19)-LEN(SUBSTITUTE(H19,",",""))+1)</f>
        <v/>
      </c>
      <c r="M19" s="28" t="inlineStr">
        <is>
          <t>Final_Evaluation</t>
        </is>
      </c>
    </row>
    <row r="20" ht="84" customHeight="1" s="36">
      <c r="A20" s="29" t="inlineStr">
        <is>
          <t>Q11</t>
        </is>
      </c>
      <c r="B20" s="29" t="n">
        <v>862</v>
      </c>
      <c r="C20" s="26" t="inlineStr">
        <is>
          <t>Knits</t>
        </is>
      </c>
      <c r="D20" s="30" t="inlineStr">
        <is>
          <t>Fit</t>
        </is>
      </c>
      <c r="E20" s="26" t="inlineStr">
        <is>
          <t>Fit</t>
        </is>
      </c>
      <c r="F20" s="26" t="inlineStr">
        <is>
          <t>Yes</t>
        </is>
      </c>
      <c r="G20" s="25" t="inlineStr">
        <is>
          <t>What body proportions did one reviewer think this top was designed for?</t>
        </is>
      </c>
      <c r="H20" s="27" t="inlineStr">
        <is>
          <t>R026</t>
        </is>
      </c>
      <c r="I20" s="25" t="inlineStr">
        <is>
          <t>One reviewer said it seemed designed for women with a long torso and shorter shoulders.</t>
        </is>
      </c>
      <c r="J20" s="25" t="inlineStr">
        <is>
          <t>One reviewer said the top seemed designed for women with a long torso and shorter shoulders. [R026]</t>
        </is>
      </c>
      <c r="K20" s="27" t="inlineStr">
        <is>
          <t>Answer</t>
        </is>
      </c>
      <c r="L20" s="28">
        <f>IF(F20="No",0,LEN(H20)-LEN(SUBSTITUTE(H20,",",""))+1)</f>
        <v/>
      </c>
      <c r="M20" s="28" t="inlineStr">
        <is>
          <t>Final_Evaluation</t>
        </is>
      </c>
    </row>
    <row r="21" ht="84" customHeight="1" s="36">
      <c r="A21" s="29" t="inlineStr">
        <is>
          <t>Q12</t>
        </is>
      </c>
      <c r="B21" s="29" t="n">
        <v>862</v>
      </c>
      <c r="C21" s="26" t="inlineStr">
        <is>
          <t>Knits</t>
        </is>
      </c>
      <c r="D21" s="31" t="inlineStr">
        <is>
          <t>Quality</t>
        </is>
      </c>
      <c r="E21" s="26" t="inlineStr">
        <is>
          <t>Quality</t>
        </is>
      </c>
      <c r="F21" s="26" t="inlineStr">
        <is>
          <t>Yes</t>
        </is>
      </c>
      <c r="G21" s="25" t="inlineStr">
        <is>
          <t>Do reviewers describe the fabric as soft or comfortable?</t>
        </is>
      </c>
      <c r="H21" s="27" t="inlineStr">
        <is>
          <t>R024, R026, R028</t>
        </is>
      </c>
      <c r="I21" s="25" t="inlineStr">
        <is>
          <t>Three reviewers described the top or fabric as soft, comfortable, or both.</t>
        </is>
      </c>
      <c r="J21" s="25" t="inlineStr">
        <is>
          <t>Yes. Reviewers described the top or fabric as soft, comfortable, or very comfortable. [R024, R026, R028]</t>
        </is>
      </c>
      <c r="K21" s="27" t="inlineStr">
        <is>
          <t>Answer</t>
        </is>
      </c>
      <c r="L21" s="28">
        <f>IF(F21="No",0,LEN(H21)-LEN(SUBSTITUTE(H21,",",""))+1)</f>
        <v/>
      </c>
      <c r="M21" s="28" t="inlineStr">
        <is>
          <t>Final_Evaluation</t>
        </is>
      </c>
    </row>
    <row r="22" ht="84" customHeight="1" s="36">
      <c r="A22" s="29" t="inlineStr">
        <is>
          <t>Q13</t>
        </is>
      </c>
      <c r="B22" s="29" t="n">
        <v>862</v>
      </c>
      <c r="C22" s="26" t="inlineStr">
        <is>
          <t>Knits</t>
        </is>
      </c>
      <c r="D22" s="32" t="inlineStr">
        <is>
          <t>Unanswerable</t>
        </is>
      </c>
      <c r="E22" s="32" t="inlineStr">
        <is>
          <t>Quality</t>
        </is>
      </c>
      <c r="F22" s="32" t="inlineStr">
        <is>
          <t>No</t>
        </is>
      </c>
      <c r="G22" s="25" t="inlineStr">
        <is>
          <t>Do the seams come apart after several months of wear?</t>
        </is>
      </c>
      <c r="H22" s="27" t="str"/>
      <c r="I22" s="25" t="inlineStr">
        <is>
          <t>No review for Clothing ID 862 reports long-term seam durability.</t>
        </is>
      </c>
      <c r="J22" s="25" t="inlineStr">
        <is>
          <t>I don't know. The available reviews do not provide enough evidence.</t>
        </is>
      </c>
      <c r="K22" s="35" t="inlineStr">
        <is>
          <t>I don't know</t>
        </is>
      </c>
      <c r="L22" s="28">
        <f>IF(F22="No",0,LEN(H22)-LEN(SUBSTITUTE(H22,",",""))+1)</f>
        <v/>
      </c>
      <c r="M22" s="28" t="inlineStr">
        <is>
          <t>Final_Evaluation</t>
        </is>
      </c>
    </row>
    <row r="23" ht="84" customHeight="1" s="36">
      <c r="A23" s="29" t="inlineStr">
        <is>
          <t>Q14</t>
        </is>
      </c>
      <c r="B23" s="29" t="n">
        <v>895</v>
      </c>
      <c r="C23" s="26" t="inlineStr">
        <is>
          <t>Fine gauge</t>
        </is>
      </c>
      <c r="D23" s="30" t="inlineStr">
        <is>
          <t>Fit</t>
        </is>
      </c>
      <c r="E23" s="26" t="inlineStr">
        <is>
          <t>Fit</t>
        </is>
      </c>
      <c r="F23" s="26" t="inlineStr">
        <is>
          <t>Yes</t>
        </is>
      </c>
      <c r="G23" s="25" t="inlineStr">
        <is>
          <t>Could the sweater feel snug around the hips for a pear-shaped shopper?</t>
        </is>
      </c>
      <c r="H23" s="27" t="inlineStr">
        <is>
          <t>R046</t>
        </is>
      </c>
      <c r="I23" s="25" t="inlineStr">
        <is>
          <t>A 5'8 reviewer with a smaller upper body found the shoulders and arms acceptable but the hips too snug.</t>
        </is>
      </c>
      <c r="J23" s="25" t="inlineStr">
        <is>
          <t>It may. A 5'8 reviewer with a smaller upper body said the shoulders and arms fit, but the hips were too snug. [R046]</t>
        </is>
      </c>
      <c r="K23" s="27" t="inlineStr">
        <is>
          <t>Answer</t>
        </is>
      </c>
      <c r="L23" s="28">
        <f>IF(F23="No",0,LEN(H23)-LEN(SUBSTITUTE(H23,",",""))+1)</f>
        <v/>
      </c>
      <c r="M23" s="28" t="inlineStr">
        <is>
          <t>Final_Evaluation</t>
        </is>
      </c>
    </row>
    <row r="24" ht="84" customHeight="1" s="36">
      <c r="A24" s="29" t="inlineStr">
        <is>
          <t>Q15</t>
        </is>
      </c>
      <c r="B24" s="29" t="n">
        <v>895</v>
      </c>
      <c r="C24" s="26" t="inlineStr">
        <is>
          <t>Fine gauge</t>
        </is>
      </c>
      <c r="D24" s="30" t="inlineStr">
        <is>
          <t>Fit</t>
        </is>
      </c>
      <c r="E24" s="26" t="inlineStr">
        <is>
          <t>Fit</t>
        </is>
      </c>
      <c r="F24" s="26" t="inlineStr">
        <is>
          <t>Yes</t>
        </is>
      </c>
      <c r="G24" s="25" t="inlineStr">
        <is>
          <t>Is the sweater cropped or short and wide?</t>
        </is>
      </c>
      <c r="H24" s="27" t="inlineStr">
        <is>
          <t>R048, R049</t>
        </is>
      </c>
      <c r="I24" s="25" t="inlineStr">
        <is>
          <t>Two reviewers described it as short or cropped and wide or boxy.</t>
        </is>
      </c>
      <c r="J24" s="25" t="inlineStr">
        <is>
          <t>Yes. Two reviewers described the sweater as short or cropped and wide or boxy. [R048, R049]</t>
        </is>
      </c>
      <c r="K24" s="27" t="inlineStr">
        <is>
          <t>Answer</t>
        </is>
      </c>
      <c r="L24" s="28">
        <f>IF(F24="No",0,LEN(H24)-LEN(SUBSTITUTE(H24,",",""))+1)</f>
        <v/>
      </c>
      <c r="M24" s="28" t="inlineStr">
        <is>
          <t>Final_Evaluation</t>
        </is>
      </c>
    </row>
    <row r="25" ht="84" customHeight="1" s="36">
      <c r="A25" s="29" t="inlineStr">
        <is>
          <t>Q16</t>
        </is>
      </c>
      <c r="B25" s="29" t="n">
        <v>895</v>
      </c>
      <c r="C25" s="26" t="inlineStr">
        <is>
          <t>Fine gauge</t>
        </is>
      </c>
      <c r="D25" s="31" t="inlineStr">
        <is>
          <t>Quality</t>
        </is>
      </c>
      <c r="E25" s="26" t="inlineStr">
        <is>
          <t>Quality</t>
        </is>
      </c>
      <c r="F25" s="26" t="inlineStr">
        <is>
          <t>Yes</t>
        </is>
      </c>
      <c r="G25" s="25" t="inlineStr">
        <is>
          <t>Does the sweater feel soft rather than itchy?</t>
        </is>
      </c>
      <c r="H25" s="27" t="inlineStr">
        <is>
          <t>R044, R045</t>
        </is>
      </c>
      <c r="I25" s="25" t="inlineStr">
        <is>
          <t>Two reviewers described the material as soft; one explicitly said it was not itchy.</t>
        </is>
      </c>
      <c r="J25" s="25" t="inlineStr">
        <is>
          <t>Yes. Reviewers described the material as soft, and one explicitly said it was not itchy. [R044, R045]</t>
        </is>
      </c>
      <c r="K25" s="27" t="inlineStr">
        <is>
          <t>Answer</t>
        </is>
      </c>
      <c r="L25" s="28">
        <f>IF(F25="No",0,LEN(H25)-LEN(SUBSTITUTE(H25,",",""))+1)</f>
        <v/>
      </c>
      <c r="M25" s="28" t="inlineStr">
        <is>
          <t>Final_Evaluation</t>
        </is>
      </c>
    </row>
    <row r="26" ht="84" customHeight="1" s="36">
      <c r="A26" s="29" t="inlineStr">
        <is>
          <t>Q17</t>
        </is>
      </c>
      <c r="B26" s="29" t="n">
        <v>895</v>
      </c>
      <c r="C26" s="26" t="inlineStr">
        <is>
          <t>Fine gauge</t>
        </is>
      </c>
      <c r="D26" s="31" t="inlineStr">
        <is>
          <t>Quality</t>
        </is>
      </c>
      <c r="E26" s="26" t="inlineStr">
        <is>
          <t>Quality</t>
        </is>
      </c>
      <c r="F26" s="26" t="inlineStr">
        <is>
          <t>Yes</t>
        </is>
      </c>
      <c r="G26" s="25" t="inlineStr">
        <is>
          <t>Are there concerns that the fabric feels flimsy, cheap, or may snag easily?</t>
        </is>
      </c>
      <c r="H26" s="27" t="inlineStr">
        <is>
          <t>R042, R043</t>
        </is>
      </c>
      <c r="I26" s="25" t="inlineStr">
        <is>
          <t>Reviewers described see-through, flimsy, or cheap-feeling fabric and a risk of snagging or stretching.</t>
        </is>
      </c>
      <c r="J26" s="25" t="inlineStr">
        <is>
          <t>Yes. One reviewer called the fabric see-through and flimsy; another said it felt cheap and might snag or stretch out quickly. [R042, R043]</t>
        </is>
      </c>
      <c r="K26" s="27" t="inlineStr">
        <is>
          <t>Answer</t>
        </is>
      </c>
      <c r="L26" s="28">
        <f>IF(F26="No",0,LEN(H26)-LEN(SUBSTITUTE(H26,",",""))+1)</f>
        <v/>
      </c>
      <c r="M26" s="28" t="inlineStr">
        <is>
          <t>Final_Evaluation</t>
        </is>
      </c>
    </row>
    <row r="27" ht="84" customHeight="1" s="36">
      <c r="A27" s="29" t="inlineStr">
        <is>
          <t>Q18</t>
        </is>
      </c>
      <c r="B27" s="29" t="n">
        <v>895</v>
      </c>
      <c r="C27" s="26" t="inlineStr">
        <is>
          <t>Fine gauge</t>
        </is>
      </c>
      <c r="D27" s="32" t="inlineStr">
        <is>
          <t>Unanswerable</t>
        </is>
      </c>
      <c r="E27" s="32" t="inlineStr">
        <is>
          <t>Quality</t>
        </is>
      </c>
      <c r="F27" s="32" t="inlineStr">
        <is>
          <t>No</t>
        </is>
      </c>
      <c r="G27" s="25" t="inlineStr">
        <is>
          <t>Does the sweater's color fade after washing?</t>
        </is>
      </c>
      <c r="H27" s="27" t="str"/>
      <c r="I27" s="25" t="inlineStr">
        <is>
          <t>No review for Clothing ID 895 reports color fading after washing.</t>
        </is>
      </c>
      <c r="J27" s="25" t="inlineStr">
        <is>
          <t>I don't know. The available reviews do not provide enough evidence.</t>
        </is>
      </c>
      <c r="K27" s="35" t="inlineStr">
        <is>
          <t>I don't know</t>
        </is>
      </c>
      <c r="L27" s="28">
        <f>IF(F27="No",0,LEN(H27)-LEN(SUBSTITUTE(H27,",",""))+1)</f>
        <v/>
      </c>
      <c r="M27" s="28" t="inlineStr">
        <is>
          <t>Final_Evaluation</t>
        </is>
      </c>
    </row>
    <row r="28" ht="84" customHeight="1" s="36">
      <c r="A28" s="29" t="inlineStr">
        <is>
          <t>Q19</t>
        </is>
      </c>
      <c r="B28" s="29" t="n">
        <v>936</v>
      </c>
      <c r="C28" s="26" t="inlineStr">
        <is>
          <t>Sweaters</t>
        </is>
      </c>
      <c r="D28" s="30" t="inlineStr">
        <is>
          <t>Fit</t>
        </is>
      </c>
      <c r="E28" s="26" t="inlineStr">
        <is>
          <t>Fit</t>
        </is>
      </c>
      <c r="F28" s="26" t="inlineStr">
        <is>
          <t>Yes</t>
        </is>
      </c>
      <c r="G28" s="25" t="inlineStr">
        <is>
          <t>Is the sweater coat roomy or oversized without necessarily looking boxy?</t>
        </is>
      </c>
      <c r="H28" s="27" t="inlineStr">
        <is>
          <t>R051, R058, R060</t>
        </is>
      </c>
      <c r="I28" s="25" t="inlineStr">
        <is>
          <t>Reviewers described an oversized or roomy fit; two still found it flattering or not boxy.</t>
        </is>
      </c>
      <c r="J28" s="25" t="inlineStr">
        <is>
          <t>Yes. Reviewers described the style as oversized or roomy. Two also said it remained figure-flattering or not boxy. [R051, R058, R060]</t>
        </is>
      </c>
      <c r="K28" s="27" t="inlineStr">
        <is>
          <t>Answer</t>
        </is>
      </c>
      <c r="L28" s="28">
        <f>IF(F28="No",0,LEN(H28)-LEN(SUBSTITUTE(H28,",",""))+1)</f>
        <v/>
      </c>
      <c r="M28" s="28" t="inlineStr">
        <is>
          <t>Final_Evaluation</t>
        </is>
      </c>
    </row>
    <row r="29" ht="84" customHeight="1" s="36">
      <c r="A29" s="29" t="inlineStr">
        <is>
          <t>Q20</t>
        </is>
      </c>
      <c r="B29" s="29" t="n">
        <v>936</v>
      </c>
      <c r="C29" s="26" t="inlineStr">
        <is>
          <t>Sweaters</t>
        </is>
      </c>
      <c r="D29" s="30" t="inlineStr">
        <is>
          <t>Fit</t>
        </is>
      </c>
      <c r="E29" s="26" t="inlineStr">
        <is>
          <t>Fit</t>
        </is>
      </c>
      <c r="F29" s="26" t="inlineStr">
        <is>
          <t>Yes</t>
        </is>
      </c>
      <c r="G29" s="25" t="inlineStr">
        <is>
          <t>Could the regular medium be too large or have sleeves that are too long on a petite shopper?</t>
        </is>
      </c>
      <c r="H29" s="27" t="inlineStr">
        <is>
          <t>R059</t>
        </is>
      </c>
      <c r="I29" s="25" t="inlineStr">
        <is>
          <t>A 5'2 reviewer found the regular medium too big and the sleeves longer than their hands.</t>
        </is>
      </c>
      <c r="J29" s="25" t="inlineStr">
        <is>
          <t>Yes. A 5'2 reviewer found the regular medium too big, with sleeves that extended past their hands. [R059]</t>
        </is>
      </c>
      <c r="K29" s="27" t="inlineStr">
        <is>
          <t>Answer</t>
        </is>
      </c>
      <c r="L29" s="28">
        <f>IF(F29="No",0,LEN(H29)-LEN(SUBSTITUTE(H29,",",""))+1)</f>
        <v/>
      </c>
      <c r="M29" s="28" t="inlineStr">
        <is>
          <t>Final_Evaluation</t>
        </is>
      </c>
    </row>
    <row r="30" ht="84" customHeight="1" s="36">
      <c r="A30" s="29" t="inlineStr">
        <is>
          <t>Q21</t>
        </is>
      </c>
      <c r="B30" s="29" t="n">
        <v>936</v>
      </c>
      <c r="C30" s="26" t="inlineStr">
        <is>
          <t>Sweaters</t>
        </is>
      </c>
      <c r="D30" s="30" t="inlineStr">
        <is>
          <t>Fit</t>
        </is>
      </c>
      <c r="E30" s="26" t="inlineStr">
        <is>
          <t>Fit</t>
        </is>
      </c>
      <c r="F30" s="26" t="inlineStr">
        <is>
          <t>Yes</t>
        </is>
      </c>
      <c r="G30" s="25" t="inlineStr">
        <is>
          <t>Could the sweater be shorter than it appears in the product photos?</t>
        </is>
      </c>
      <c r="H30" s="27" t="inlineStr">
        <is>
          <t>R053</t>
        </is>
      </c>
      <c r="I30" s="25" t="inlineStr">
        <is>
          <t>A 5'7 reviewer said the medium fit perfectly but was a little shorter than shown in the photos.</t>
        </is>
      </c>
      <c r="J30" s="25" t="inlineStr">
        <is>
          <t>Yes. A 5'7 reviewer said the medium fit perfectly but was a little shorter than shown in the photos. [R053]</t>
        </is>
      </c>
      <c r="K30" s="27" t="inlineStr">
        <is>
          <t>Answer</t>
        </is>
      </c>
      <c r="L30" s="28">
        <f>IF(F30="No",0,LEN(H30)-LEN(SUBSTITUTE(H30,",",""))+1)</f>
        <v/>
      </c>
      <c r="M30" s="28" t="inlineStr">
        <is>
          <t>Final_Evaluation</t>
        </is>
      </c>
    </row>
    <row r="31" ht="84" customHeight="1" s="36">
      <c r="A31" s="29" t="inlineStr">
        <is>
          <t>Q22</t>
        </is>
      </c>
      <c r="B31" s="29" t="n">
        <v>936</v>
      </c>
      <c r="C31" s="26" t="inlineStr">
        <is>
          <t>Sweaters</t>
        </is>
      </c>
      <c r="D31" s="31" t="inlineStr">
        <is>
          <t>Quality</t>
        </is>
      </c>
      <c r="E31" s="26" t="inlineStr">
        <is>
          <t>Quality</t>
        </is>
      </c>
      <c r="F31" s="26" t="inlineStr">
        <is>
          <t>Yes</t>
        </is>
      </c>
      <c r="G31" s="25" t="inlineStr">
        <is>
          <t>What evidence is there about warmth in 30–50°F weather?</t>
        </is>
      </c>
      <c r="H31" s="27" t="inlineStr">
        <is>
          <t>R056</t>
        </is>
      </c>
      <c r="I31" s="25" t="inlineStr">
        <is>
          <t>One reviewer found it warm in 50°F weather and expected it to work in 30–40°F with extra layers.</t>
        </is>
      </c>
      <c r="J31" s="25" t="inlineStr">
        <is>
          <t>One reviewer found it warm in 50°F weather and expected it to be warm enough in 30–40°F weather with added layers. [R056]</t>
        </is>
      </c>
      <c r="K31" s="27" t="inlineStr">
        <is>
          <t>Answer</t>
        </is>
      </c>
      <c r="L31" s="28">
        <f>IF(F31="No",0,LEN(H31)-LEN(SUBSTITUTE(H31,",",""))+1)</f>
        <v/>
      </c>
      <c r="M31" s="28" t="inlineStr">
        <is>
          <t>Final_Evaluation</t>
        </is>
      </c>
    </row>
    <row r="32" ht="84" customHeight="1" s="36">
      <c r="A32" s="29" t="inlineStr">
        <is>
          <t>Q23</t>
        </is>
      </c>
      <c r="B32" s="29" t="n">
        <v>936</v>
      </c>
      <c r="C32" s="26" t="inlineStr">
        <is>
          <t>Sweaters</t>
        </is>
      </c>
      <c r="D32" s="31" t="inlineStr">
        <is>
          <t>Quality</t>
        </is>
      </c>
      <c r="E32" s="26" t="inlineStr">
        <is>
          <t>Quality</t>
        </is>
      </c>
      <c r="F32" s="26" t="inlineStr">
        <is>
          <t>Yes</t>
        </is>
      </c>
      <c r="G32" s="25" t="inlineStr">
        <is>
          <t>Are there any construction or durability concerns?</t>
        </is>
      </c>
      <c r="H32" s="27" t="inlineStr">
        <is>
          <t>R056, R057</t>
        </is>
      </c>
      <c r="I32" s="25" t="inlineStr">
        <is>
          <t>One reviewer warned of possible pilling; another reported loosely sewn buttons.</t>
        </is>
      </c>
      <c r="J32" s="25" t="inlineStr">
        <is>
          <t>Yes. One reviewer warned that the soft, unlined material might pill, and another said the buttons were sewn on very loosely. [R056, R057]</t>
        </is>
      </c>
      <c r="K32" s="27" t="inlineStr">
        <is>
          <t>Answer</t>
        </is>
      </c>
      <c r="L32" s="28">
        <f>IF(F32="No",0,LEN(H32)-LEN(SUBSTITUTE(H32,",",""))+1)</f>
        <v/>
      </c>
      <c r="M32" s="28" t="inlineStr">
        <is>
          <t>Final_Evaluation</t>
        </is>
      </c>
    </row>
    <row r="33" ht="84" customHeight="1" s="36">
      <c r="A33" s="29" t="inlineStr">
        <is>
          <t>Q24</t>
        </is>
      </c>
      <c r="B33" s="29" t="n">
        <v>1078</v>
      </c>
      <c r="C33" s="26" t="inlineStr">
        <is>
          <t>Dresses</t>
        </is>
      </c>
      <c r="D33" s="30" t="inlineStr">
        <is>
          <t>Fit</t>
        </is>
      </c>
      <c r="E33" s="26" t="inlineStr">
        <is>
          <t>Fit</t>
        </is>
      </c>
      <c r="F33" s="26" t="inlineStr">
        <is>
          <t>Yes</t>
        </is>
      </c>
      <c r="G33" s="25" t="inlineStr">
        <is>
          <t>Do reviewers report that the dress was so short that they returned it?</t>
        </is>
      </c>
      <c r="H33" s="27" t="inlineStr">
        <is>
          <t>R082, R083, R088</t>
        </is>
      </c>
      <c r="I33" s="25" t="inlineStr">
        <is>
          <t>Three reviewers found the dress too short and returned it or sent it back.</t>
        </is>
      </c>
      <c r="J33" s="25" t="inlineStr">
        <is>
          <t>Yes. Three reviewers found the dress too short and returned it or sent it back. [R082, R083, R088]</t>
        </is>
      </c>
      <c r="K33" s="27" t="inlineStr">
        <is>
          <t>Answer</t>
        </is>
      </c>
      <c r="L33" s="28">
        <f>IF(F33="No",0,LEN(H33)-LEN(SUBSTITUTE(H33,",",""))+1)</f>
        <v/>
      </c>
      <c r="M33" s="28" t="inlineStr">
        <is>
          <t>Final_Evaluation</t>
        </is>
      </c>
    </row>
    <row r="34" ht="84" customHeight="1" s="36">
      <c r="A34" s="29" t="inlineStr">
        <is>
          <t>Q25</t>
        </is>
      </c>
      <c r="B34" s="29" t="n">
        <v>1078</v>
      </c>
      <c r="C34" s="26" t="inlineStr">
        <is>
          <t>Dresses</t>
        </is>
      </c>
      <c r="D34" s="30" t="inlineStr">
        <is>
          <t>Fit</t>
        </is>
      </c>
      <c r="E34" s="26" t="inlineStr">
        <is>
          <t>Fit</t>
        </is>
      </c>
      <c r="F34" s="26" t="inlineStr">
        <is>
          <t>Yes</t>
        </is>
      </c>
      <c r="G34" s="25" t="inlineStr">
        <is>
          <t>Is the dress generally true to size?</t>
        </is>
      </c>
      <c r="H34" s="27" t="inlineStr">
        <is>
          <t>R081, R084, R089</t>
        </is>
      </c>
      <c r="I34" s="25" t="inlineStr">
        <is>
          <t>Two reviewers said it was true to size; another said it was true to size to a little large.</t>
        </is>
      </c>
      <c r="J34" s="25" t="inlineStr">
        <is>
          <t>Mostly yes, with some variation. Two reviewers said it fit true to size, while another described it as true to size to a little large. [R081, R084, R089]</t>
        </is>
      </c>
      <c r="K34" s="27" t="inlineStr">
        <is>
          <t>Answer</t>
        </is>
      </c>
      <c r="L34" s="28">
        <f>IF(F34="No",0,LEN(H34)-LEN(SUBSTITUTE(H34,",",""))+1)</f>
        <v/>
      </c>
      <c r="M34" s="28" t="inlineStr">
        <is>
          <t>Final_Evaluation</t>
        </is>
      </c>
    </row>
    <row r="35" ht="84" customHeight="1" s="36">
      <c r="A35" s="29" t="inlineStr">
        <is>
          <t>Q26</t>
        </is>
      </c>
      <c r="B35" s="29" t="n">
        <v>1078</v>
      </c>
      <c r="C35" s="26" t="inlineStr">
        <is>
          <t>Dresses</t>
        </is>
      </c>
      <c r="D35" s="31" t="inlineStr">
        <is>
          <t>Quality</t>
        </is>
      </c>
      <c r="E35" s="26" t="inlineStr">
        <is>
          <t>Quality</t>
        </is>
      </c>
      <c r="F35" s="26" t="inlineStr">
        <is>
          <t>Yes</t>
        </is>
      </c>
      <c r="G35" s="25" t="inlineStr">
        <is>
          <t>Does the knit fabric feel substantial rather than flimsy?</t>
        </is>
      </c>
      <c r="H35" s="27" t="inlineStr">
        <is>
          <t>R083, R087, R089</t>
        </is>
      </c>
      <c r="I35" s="25" t="inlineStr">
        <is>
          <t>Reviewers described sturdy fabric, material with weight, and a quality knit.</t>
        </is>
      </c>
      <c r="J35" s="25" t="inlineStr">
        <is>
          <t>Yes. Reviewers described the knit or fabric as sturdy, weighty, or high quality. [R083, R087, R089]</t>
        </is>
      </c>
      <c r="K35" s="27" t="inlineStr">
        <is>
          <t>Answer</t>
        </is>
      </c>
      <c r="L35" s="28">
        <f>IF(F35="No",0,LEN(H35)-LEN(SUBSTITUTE(H35,",",""))+1)</f>
        <v/>
      </c>
      <c r="M35" s="28" t="inlineStr">
        <is>
          <t>Final_Evaluation</t>
        </is>
      </c>
    </row>
    <row r="36" ht="84" customHeight="1" s="36">
      <c r="A36" s="29" t="inlineStr">
        <is>
          <t>Q27</t>
        </is>
      </c>
      <c r="B36" s="29" t="n">
        <v>1078</v>
      </c>
      <c r="C36" s="26" t="inlineStr">
        <is>
          <t>Dresses</t>
        </is>
      </c>
      <c r="D36" s="32" t="inlineStr">
        <is>
          <t>Unanswerable</t>
        </is>
      </c>
      <c r="E36" s="32" t="inlineStr">
        <is>
          <t>Quality</t>
        </is>
      </c>
      <c r="F36" s="32" t="inlineStr">
        <is>
          <t>No</t>
        </is>
      </c>
      <c r="G36" s="25" t="inlineStr">
        <is>
          <t>Does the dress shrink after ten machine washes?</t>
        </is>
      </c>
      <c r="H36" s="27" t="str"/>
      <c r="I36" s="25" t="inlineStr">
        <is>
          <t>No review for Clothing ID 1078 reports results after ten machine washes.</t>
        </is>
      </c>
      <c r="J36" s="25" t="inlineStr">
        <is>
          <t>I don't know. The available reviews do not provide enough evidence.</t>
        </is>
      </c>
      <c r="K36" s="35" t="inlineStr">
        <is>
          <t>I don't know</t>
        </is>
      </c>
      <c r="L36" s="28">
        <f>IF(F36="No",0,LEN(H36)-LEN(SUBSTITUTE(H36,",",""))+1)</f>
        <v/>
      </c>
      <c r="M36" s="28" t="inlineStr">
        <is>
          <t>Final_Evaluation</t>
        </is>
      </c>
    </row>
    <row r="37" ht="84" customHeight="1" s="36">
      <c r="A37" s="29" t="inlineStr">
        <is>
          <t>Q28</t>
        </is>
      </c>
      <c r="B37" s="29" t="n">
        <v>1094</v>
      </c>
      <c r="C37" s="26" t="inlineStr">
        <is>
          <t>Dresses</t>
        </is>
      </c>
      <c r="D37" s="30" t="inlineStr">
        <is>
          <t>Fit</t>
        </is>
      </c>
      <c r="E37" s="26" t="inlineStr">
        <is>
          <t>Fit</t>
        </is>
      </c>
      <c r="F37" s="26" t="inlineStr">
        <is>
          <t>Yes</t>
        </is>
      </c>
      <c r="G37" s="25" t="inlineStr">
        <is>
          <t>Does this dress run a little large?</t>
        </is>
      </c>
      <c r="H37" s="27" t="inlineStr">
        <is>
          <t>R098</t>
        </is>
      </c>
      <c r="I37" s="25" t="inlineStr">
        <is>
          <t>One reviewer said it ran a little large and chose an XSP at 5'5 and 130 lb.</t>
        </is>
      </c>
      <c r="J37" s="25" t="inlineStr">
        <is>
          <t>Yes. One reviewer said the dress ran a little large and chose an XSP at 5'5 and 130 lb. [R098]</t>
        </is>
      </c>
      <c r="K37" s="27" t="inlineStr">
        <is>
          <t>Answer</t>
        </is>
      </c>
      <c r="L37" s="28">
        <f>IF(F37="No",0,LEN(H37)-LEN(SUBSTITUTE(H37,",",""))+1)</f>
        <v/>
      </c>
      <c r="M37" s="28" t="inlineStr">
        <is>
          <t>Final_Evaluation</t>
        </is>
      </c>
    </row>
    <row r="38" ht="84" customHeight="1" s="36">
      <c r="A38" s="29" t="inlineStr">
        <is>
          <t>Q29</t>
        </is>
      </c>
      <c r="B38" s="29" t="n">
        <v>1094</v>
      </c>
      <c r="C38" s="26" t="inlineStr">
        <is>
          <t>Dresses</t>
        </is>
      </c>
      <c r="D38" s="31" t="inlineStr">
        <is>
          <t>Quality</t>
        </is>
      </c>
      <c r="E38" s="26" t="inlineStr">
        <is>
          <t>Quality</t>
        </is>
      </c>
      <c r="F38" s="26" t="inlineStr">
        <is>
          <t>Yes</t>
        </is>
      </c>
      <c r="G38" s="25" t="inlineStr">
        <is>
          <t>Are there concerns that the dress fabric or lining looks or feels cheap?</t>
        </is>
      </c>
      <c r="H38" s="27" t="inlineStr">
        <is>
          <t>R094, R097, R100</t>
        </is>
      </c>
      <c r="I38" s="25" t="inlineStr">
        <is>
          <t>Reviewers reported cheaper-feeling fabric, cheap-looking material, and a flimsy built-in slip.</t>
        </is>
      </c>
      <c r="J38" s="25" t="inlineStr">
        <is>
          <t>Yes. One reviewer said the ribbed fabric felt cheaper although it did not look cheap; another called the material cheap-looking; a third said the built-in slip was flimsy. [R094, R097, R100]</t>
        </is>
      </c>
      <c r="K38" s="27" t="inlineStr">
        <is>
          <t>Answer</t>
        </is>
      </c>
      <c r="L38" s="28">
        <f>IF(F38="No",0,LEN(H38)-LEN(SUBSTITUTE(H38,",",""))+1)</f>
        <v/>
      </c>
      <c r="M38" s="28" t="inlineStr">
        <is>
          <t>Final_Evaluation</t>
        </is>
      </c>
    </row>
    <row r="39" ht="84" customHeight="1" s="36">
      <c r="A39" s="29" t="inlineStr">
        <is>
          <t>Q30</t>
        </is>
      </c>
      <c r="B39" s="29" t="n">
        <v>1094</v>
      </c>
      <c r="C39" s="26" t="inlineStr">
        <is>
          <t>Dresses</t>
        </is>
      </c>
      <c r="D39" s="32" t="inlineStr">
        <is>
          <t>Unanswerable</t>
        </is>
      </c>
      <c r="E39" s="32" t="inlineStr">
        <is>
          <t>Quality</t>
        </is>
      </c>
      <c r="F39" s="32" t="inlineStr">
        <is>
          <t>No</t>
        </is>
      </c>
      <c r="G39" s="25" t="inlineStr">
        <is>
          <t>Does the dress fabric bleed color when washed?</t>
        </is>
      </c>
      <c r="H39" s="27" t="str"/>
      <c r="I39" s="25" t="inlineStr">
        <is>
          <t>No review for Clothing ID 1094 reports color bleeding during washing.</t>
        </is>
      </c>
      <c r="J39" s="25" t="inlineStr">
        <is>
          <t>I don't know. The available reviews do not provide enough evidence.</t>
        </is>
      </c>
      <c r="K39" s="35" t="inlineStr">
        <is>
          <t>I don't know</t>
        </is>
      </c>
      <c r="L39" s="28">
        <f>IF(F39="No",0,LEN(H39)-LEN(SUBSTITUTE(H39,",",""))+1)</f>
        <v/>
      </c>
      <c r="M39" s="28" t="inlineStr">
        <is>
          <t>Final_Evaluation</t>
        </is>
      </c>
    </row>
    <row r="40">
      <c r="A40" s="29" t="inlineStr">
        <is>
          <t>Q31</t>
        </is>
      </c>
      <c r="B40" s="29" t="n">
        <v>836</v>
      </c>
      <c r="C40" s="26" t="inlineStr">
        <is>
          <t>Blouses</t>
        </is>
      </c>
      <c r="D40" s="30" t="inlineStr">
        <is>
          <t>Paraphrase</t>
        </is>
      </c>
      <c r="E40" s="26" t="inlineStr">
        <is>
          <t>Fit</t>
        </is>
      </c>
      <c r="F40" s="26" t="inlineStr">
        <is>
          <t>Yes</t>
        </is>
      </c>
      <c r="G40" s="25" t="inlineStr">
        <is>
          <t>Is this cut generous enough for someone with a fuller bust?</t>
        </is>
      </c>
      <c r="H40" s="27" t="inlineStr">
        <is>
          <t>R001</t>
        </is>
      </c>
      <c r="I40" s="25" t="inlineStr">
        <is>
          <t>One reviewer said this brand runs tight for well-endowed figures and sized up to XL.</t>
        </is>
      </c>
      <c r="J40" s="25" t="inlineStr">
        <is>
          <t>It may not be. One reviewer said this brand runs tight for well-endowed figures and sized up to XL. [R001]</t>
        </is>
      </c>
      <c r="K40" s="27" t="inlineStr">
        <is>
          <t>Answer</t>
        </is>
      </c>
      <c r="L40" s="28" t="n">
        <v>1</v>
      </c>
      <c r="M40" s="28" t="inlineStr">
        <is>
          <t>Supplementary_Paraphrase</t>
        </is>
      </c>
    </row>
    <row r="41">
      <c r="A41" s="29" t="inlineStr">
        <is>
          <t>Q32</t>
        </is>
      </c>
      <c r="B41" s="29" t="n">
        <v>862</v>
      </c>
      <c r="C41" s="26" t="inlineStr">
        <is>
          <t>Knits</t>
        </is>
      </c>
      <c r="D41" s="30" t="inlineStr">
        <is>
          <t>Paraphrase</t>
        </is>
      </c>
      <c r="E41" s="26" t="inlineStr">
        <is>
          <t>Fit</t>
        </is>
      </c>
      <c r="F41" s="26" t="inlineStr">
        <is>
          <t>Yes</t>
        </is>
      </c>
      <c r="G41" s="25" t="inlineStr">
        <is>
          <t>What figure type did one shopper feel this shirt was tailored for?</t>
        </is>
      </c>
      <c r="H41" s="27" t="inlineStr">
        <is>
          <t>R026</t>
        </is>
      </c>
      <c r="I41" s="25" t="inlineStr">
        <is>
          <t>One reviewer returned the top because it seemed made for women with a long torso and shorter shoulders.</t>
        </is>
      </c>
      <c r="J41" s="25" t="inlineStr">
        <is>
          <t>One reviewer felt it was made for women with a long torso and shorter shoulders, and returned it for that reason. [R026]</t>
        </is>
      </c>
      <c r="K41" s="27" t="inlineStr">
        <is>
          <t>Answer</t>
        </is>
      </c>
      <c r="L41" s="28" t="n">
        <v>1</v>
      </c>
      <c r="M41" s="28" t="inlineStr">
        <is>
          <t>Supplementary_Paraphrase</t>
        </is>
      </c>
    </row>
    <row r="42">
      <c r="A42" s="29" t="inlineStr">
        <is>
          <t>Q33</t>
        </is>
      </c>
      <c r="B42" s="29" t="n">
        <v>895</v>
      </c>
      <c r="C42" s="26" t="inlineStr">
        <is>
          <t>Fine gauge</t>
        </is>
      </c>
      <c r="D42" s="30" t="inlineStr">
        <is>
          <t>Paraphrase</t>
        </is>
      </c>
      <c r="E42" s="26" t="inlineStr">
        <is>
          <t>Quality</t>
        </is>
      </c>
      <c r="F42" s="26" t="inlineStr">
        <is>
          <t>Yes</t>
        </is>
      </c>
      <c r="G42" s="25" t="inlineStr">
        <is>
          <t>Have any shoppers been disappointed by how the cloth catches on things or loses its shape over time?</t>
        </is>
      </c>
      <c r="H42" s="27" t="inlineStr">
        <is>
          <t>R043</t>
        </is>
      </c>
      <c r="I42" s="25" t="inlineStr">
        <is>
          <t>One buyer felt the material was cheap and warned it might catch on things and stretch out quickly.</t>
        </is>
      </c>
      <c r="J42" s="25" t="inlineStr">
        <is>
          <t>Yes. One buyer said the material felt cheap and might catch on things or lose its shape quickly. [R043]</t>
        </is>
      </c>
      <c r="K42" s="27" t="inlineStr">
        <is>
          <t>Answer</t>
        </is>
      </c>
      <c r="L42" s="28" t="n">
        <v>1</v>
      </c>
      <c r="M42" s="28" t="inlineStr">
        <is>
          <t>Supplementary_Paraphrase</t>
        </is>
      </c>
    </row>
    <row r="43">
      <c r="A43" s="29" t="inlineStr">
        <is>
          <t>Q34</t>
        </is>
      </c>
      <c r="B43" s="29" t="n">
        <v>936</v>
      </c>
      <c r="C43" s="26" t="inlineStr">
        <is>
          <t>Sweaters</t>
        </is>
      </c>
      <c r="D43" s="30" t="inlineStr">
        <is>
          <t>Paraphrase</t>
        </is>
      </c>
      <c r="E43" s="26" t="inlineStr">
        <is>
          <t>Quality</t>
        </is>
      </c>
      <c r="F43" s="26" t="inlineStr">
        <is>
          <t>Yes</t>
        </is>
      </c>
      <c r="G43" s="25" t="inlineStr">
        <is>
          <t>Can this outer layer carry someone through crisp autumn afternoons on its own?</t>
        </is>
      </c>
      <c r="H43" s="27" t="inlineStr">
        <is>
          <t>R056</t>
        </is>
      </c>
      <c r="I43" s="25" t="inlineStr">
        <is>
          <t>One reviewer found the coat surprisingly warm in 50-degree weather and expected it to work in 30-40 degrees with extra layers.</t>
        </is>
      </c>
      <c r="J43" s="25" t="inlineStr">
        <is>
          <t>Yes. One reviewer found it warm in 50-degree weather and expected it to work in 30-40 degrees with added layers. [R056]</t>
        </is>
      </c>
      <c r="K43" s="27" t="inlineStr">
        <is>
          <t>Answer</t>
        </is>
      </c>
      <c r="L43" s="28" t="n">
        <v>1</v>
      </c>
      <c r="M43" s="28" t="inlineStr">
        <is>
          <t>Supplementary_Paraphrase</t>
        </is>
      </c>
    </row>
    <row r="44">
      <c r="A44" s="29" t="inlineStr">
        <is>
          <t>Q35</t>
        </is>
      </c>
      <c r="B44" s="29" t="n">
        <v>1094</v>
      </c>
      <c r="C44" s="26" t="inlineStr">
        <is>
          <t>Dresses</t>
        </is>
      </c>
      <c r="D44" s="30" t="inlineStr">
        <is>
          <t>Paraphrase</t>
        </is>
      </c>
      <c r="E44" s="26" t="inlineStr">
        <is>
          <t>Quality</t>
        </is>
      </c>
      <c r="F44" s="26" t="inlineStr">
        <is>
          <t>Yes</t>
        </is>
      </c>
      <c r="G44" s="25" t="inlineStr">
        <is>
          <t>Do any shoppers feel the finish does not live up to the price tag?</t>
        </is>
      </c>
      <c r="H44" s="27" t="inlineStr">
        <is>
          <t>R097</t>
        </is>
      </c>
      <c r="I44" s="25" t="inlineStr">
        <is>
          <t>One reviewer said the material looked cheap for a $158 dress.</t>
        </is>
      </c>
      <c r="J44" s="25" t="inlineStr">
        <is>
          <t>Yes. One reviewer said the material looked cheap for the price. [R097]</t>
        </is>
      </c>
      <c r="K44" s="27" t="inlineStr">
        <is>
          <t>Answer</t>
        </is>
      </c>
      <c r="L44" s="28" t="n">
        <v>1</v>
      </c>
      <c r="M44" s="28" t="inlineStr">
        <is>
          <t>Supplementary_Paraphrase</t>
        </is>
      </c>
    </row>
    <row r="45">
      <c r="A45" s="29" t="inlineStr">
        <is>
          <t>Q36</t>
        </is>
      </c>
      <c r="B45" s="29" t="n">
        <v>850</v>
      </c>
      <c r="C45" s="26" t="inlineStr">
        <is>
          <t>Blouses</t>
        </is>
      </c>
      <c r="D45" s="30" t="inlineStr">
        <is>
          <t>Paraphrase</t>
        </is>
      </c>
      <c r="E45" s="26" t="inlineStr">
        <is>
          <t>Quality</t>
        </is>
      </c>
      <c r="F45" s="26" t="inlineStr">
        <is>
          <t>Yes</t>
        </is>
      </c>
      <c r="G45" s="25" t="inlineStr">
        <is>
          <t>Would a shopper need to layer this over an undergarment because the cloth lets light through?</t>
        </is>
      </c>
      <c r="H45" s="27" t="inlineStr">
        <is>
          <t>R013</t>
        </is>
      </c>
      <c r="I45" s="25" t="inlineStr">
        <is>
          <t>One reviewer described the material as very sheer.</t>
        </is>
      </c>
      <c r="J45" s="25" t="inlineStr">
        <is>
          <t>Yes. One reviewer called the material very sheer, suggesting an undergarment may be needed. [R013]</t>
        </is>
      </c>
      <c r="K45" s="27" t="inlineStr">
        <is>
          <t>Answer</t>
        </is>
      </c>
      <c r="L45" s="28" t="n">
        <v>1</v>
      </c>
      <c r="M45" s="28" t="inlineStr">
        <is>
          <t>Supplementary_Paraphrase</t>
        </is>
      </c>
    </row>
    <row r="46">
      <c r="A46" s="29" t="inlineStr">
        <is>
          <t>Q37</t>
        </is>
      </c>
      <c r="B46" s="29" t="n">
        <v>1078</v>
      </c>
      <c r="C46" s="26" t="inlineStr">
        <is>
          <t>Dresses</t>
        </is>
      </c>
      <c r="D46" s="30" t="inlineStr">
        <is>
          <t>Paraphrase</t>
        </is>
      </c>
      <c r="E46" s="26" t="inlineStr">
        <is>
          <t>Fit</t>
        </is>
      </c>
      <c r="F46" s="26" t="inlineStr">
        <is>
          <t>Yes</t>
        </is>
      </c>
      <c r="G46" s="25" t="inlineStr">
        <is>
          <t>Have customers sent this dress back because the hemline was briefer than they expected?</t>
        </is>
      </c>
      <c r="H46" s="27" t="inlineStr">
        <is>
          <t>R082</t>
        </is>
      </c>
      <c r="I46" s="25" t="inlineStr">
        <is>
          <t>One reviewer found the dress too short and returned it.</t>
        </is>
      </c>
      <c r="J46" s="25" t="inlineStr">
        <is>
          <t>Yes. One reviewer found the dress too short and sent it back. [R082]</t>
        </is>
      </c>
      <c r="K46" s="27" t="inlineStr">
        <is>
          <t>Answer</t>
        </is>
      </c>
      <c r="L46" s="28" t="n">
        <v>1</v>
      </c>
      <c r="M46" s="28" t="inlineStr">
        <is>
          <t>Supplementary_Paraphrase</t>
        </is>
      </c>
    </row>
    <row r="47">
      <c r="A47" s="29" t="inlineStr">
        <is>
          <t>Q38</t>
        </is>
      </c>
      <c r="B47" s="29" t="n">
        <v>862</v>
      </c>
      <c r="C47" s="26" t="inlineStr">
        <is>
          <t>Knits</t>
        </is>
      </c>
      <c r="D47" s="30" t="inlineStr">
        <is>
          <t>Paraphrase</t>
        </is>
      </c>
      <c r="E47" s="26" t="inlineStr">
        <is>
          <t>Quality</t>
        </is>
      </c>
      <c r="F47" s="26" t="inlineStr">
        <is>
          <t>No</t>
        </is>
      </c>
      <c r="G47" s="25" t="inlineStr">
        <is>
          <t>Do customers report the knit developing fuzz balls after a season of regular wear?</t>
        </is>
      </c>
      <c r="H47" s="27" t="inlineStr"/>
      <c r="I47" s="25" t="inlineStr">
        <is>
          <t>No review for Clothing ID 862 reports pilling or fuzzing after extended wear.</t>
        </is>
      </c>
      <c r="J47" s="25" t="inlineStr">
        <is>
          <t>I don't know. The available reviews do not provide enough evidence.</t>
        </is>
      </c>
      <c r="K47" s="27" t="inlineStr">
        <is>
          <t>I don't know</t>
        </is>
      </c>
      <c r="L47" s="28" t="n">
        <v>0</v>
      </c>
      <c r="M47" s="28" t="inlineStr">
        <is>
          <t>Supplementary_Paraphrase</t>
        </is>
      </c>
    </row>
    <row r="48">
      <c r="A48" s="29" t="inlineStr">
        <is>
          <t>Q39</t>
        </is>
      </c>
      <c r="B48" s="29" t="n">
        <v>836</v>
      </c>
      <c r="C48" s="26" t="inlineStr">
        <is>
          <t>Blouses</t>
        </is>
      </c>
      <c r="D48" s="30" t="inlineStr">
        <is>
          <t>Paraphrase</t>
        </is>
      </c>
      <c r="E48" s="26" t="inlineStr">
        <is>
          <t>Fit</t>
        </is>
      </c>
      <c r="F48" s="26" t="inlineStr">
        <is>
          <t>Yes</t>
        </is>
      </c>
      <c r="G48" s="25" t="inlineStr">
        <is>
          <t>Would someone who normally wears their usual size find this item consistent with other brands?</t>
        </is>
      </c>
      <c r="H48" s="27" t="inlineStr">
        <is>
          <t>R002</t>
        </is>
      </c>
      <c r="I48" s="25" t="inlineStr">
        <is>
          <t>One reviewer initially expected it to run small, but found it fits true to size or even generous.</t>
        </is>
      </c>
      <c r="J48" s="25" t="inlineStr">
        <is>
          <t>Yes. One reviewer expected it to run small but found it fits true to size or even generous. [R002]</t>
        </is>
      </c>
      <c r="K48" s="27" t="inlineStr">
        <is>
          <t>Answer</t>
        </is>
      </c>
      <c r="L48" s="28" t="n">
        <v>1</v>
      </c>
      <c r="M48" s="28" t="inlineStr">
        <is>
          <t>Supplementary_Paraphrase</t>
        </is>
      </c>
    </row>
    <row r="49">
      <c r="A49" s="29" t="inlineStr">
        <is>
          <t>Q40</t>
        </is>
      </c>
      <c r="B49" s="29" t="n">
        <v>836</v>
      </c>
      <c r="C49" s="26" t="inlineStr">
        <is>
          <t>Blouses</t>
        </is>
      </c>
      <c r="D49" s="30" t="inlineStr">
        <is>
          <t>Paraphrase</t>
        </is>
      </c>
      <c r="E49" s="26" t="inlineStr">
        <is>
          <t>Fit</t>
        </is>
      </c>
      <c r="F49" s="26" t="inlineStr">
        <is>
          <t>Yes</t>
        </is>
      </c>
      <c r="G49" s="25" t="inlineStr">
        <is>
          <t>Does this top smooth out problem areas for the wearer?</t>
        </is>
      </c>
      <c r="H49" s="27" t="inlineStr">
        <is>
          <t>R010</t>
        </is>
      </c>
      <c r="I49" s="25" t="inlineStr">
        <is>
          <t>One reviewer said it is extremely figure flattering and hides flaws.</t>
        </is>
      </c>
      <c r="J49" s="25" t="inlineStr">
        <is>
          <t>Yes. One reviewer said it is extremely figure flattering and hides flaws. [R010]</t>
        </is>
      </c>
      <c r="K49" s="27" t="inlineStr">
        <is>
          <t>Answer</t>
        </is>
      </c>
      <c r="L49" s="28" t="n">
        <v>1</v>
      </c>
      <c r="M49" s="28" t="inlineStr">
        <is>
          <t>Supplementary_Paraphrase</t>
        </is>
      </c>
    </row>
    <row r="50">
      <c r="A50" s="29" t="inlineStr">
        <is>
          <t>Q41</t>
        </is>
      </c>
      <c r="B50" s="29" t="n">
        <v>850</v>
      </c>
      <c r="C50" s="26" t="inlineStr">
        <is>
          <t>Blouses</t>
        </is>
      </c>
      <c r="D50" s="30" t="inlineStr">
        <is>
          <t>Paraphrase</t>
        </is>
      </c>
      <c r="E50" s="26" t="inlineStr">
        <is>
          <t>Fit</t>
        </is>
      </c>
      <c r="F50" s="26" t="inlineStr">
        <is>
          <t>Yes</t>
        </is>
      </c>
      <c r="G50" s="25" t="inlineStr">
        <is>
          <t>Is this cut forgiving through the midsection for someone who dislikes clingy fabric?</t>
        </is>
      </c>
      <c r="H50" s="27" t="inlineStr">
        <is>
          <t>R020</t>
        </is>
      </c>
      <c r="I50" s="25" t="inlineStr">
        <is>
          <t>One reviewer said it has a nice flow and is not tight around the stomach.</t>
        </is>
      </c>
      <c r="J50" s="25" t="inlineStr">
        <is>
          <t>Yes. One reviewer said it has a nice flow and is not tight around the stomach. [R020]</t>
        </is>
      </c>
      <c r="K50" s="27" t="inlineStr">
        <is>
          <t>Answer</t>
        </is>
      </c>
      <c r="L50" s="28" t="n">
        <v>1</v>
      </c>
      <c r="M50" s="28" t="inlineStr">
        <is>
          <t>Supplementary_Paraphrase</t>
        </is>
      </c>
    </row>
    <row r="51">
      <c r="A51" s="29" t="inlineStr">
        <is>
          <t>Q42</t>
        </is>
      </c>
      <c r="B51" s="29" t="n">
        <v>850</v>
      </c>
      <c r="C51" s="26" t="inlineStr">
        <is>
          <t>Blouses</t>
        </is>
      </c>
      <c r="D51" s="30" t="inlineStr">
        <is>
          <t>Paraphrase</t>
        </is>
      </c>
      <c r="E51" s="26" t="inlineStr">
        <is>
          <t>Quality</t>
        </is>
      </c>
      <c r="F51" s="26" t="inlineStr">
        <is>
          <t>Yes</t>
        </is>
      </c>
      <c r="G51" s="25" t="inlineStr">
        <is>
          <t>Can this piece be worn across different seasons and settings?</t>
        </is>
      </c>
      <c r="H51" s="27" t="inlineStr">
        <is>
          <t>R012</t>
        </is>
      </c>
      <c r="I51" s="25" t="inlineStr">
        <is>
          <t>One reviewer found it beautiful but not versatile, suitable only for spring and summer.</t>
        </is>
      </c>
      <c r="J51" s="25" t="inlineStr">
        <is>
          <t>No. One reviewer found it beautiful but not versatile, suitable only for spring and summer with white pants. [R012]</t>
        </is>
      </c>
      <c r="K51" s="27" t="inlineStr">
        <is>
          <t>Answer</t>
        </is>
      </c>
      <c r="L51" s="28" t="n">
        <v>1</v>
      </c>
      <c r="M51" s="28" t="inlineStr">
        <is>
          <t>Supplementary_Paraphrase</t>
        </is>
      </c>
    </row>
    <row r="52">
      <c r="A52" s="29" t="inlineStr">
        <is>
          <t>Q43</t>
        </is>
      </c>
      <c r="B52" s="29" t="n">
        <v>862</v>
      </c>
      <c r="C52" s="26" t="inlineStr">
        <is>
          <t>Knits</t>
        </is>
      </c>
      <c r="D52" s="30" t="inlineStr">
        <is>
          <t>Paraphrase</t>
        </is>
      </c>
      <c r="E52" s="26" t="inlineStr">
        <is>
          <t>Quality</t>
        </is>
      </c>
      <c r="F52" s="26" t="inlineStr">
        <is>
          <t>Yes</t>
        </is>
      </c>
      <c r="G52" s="25" t="inlineStr">
        <is>
          <t>Did any buyer feel the fabric fell short of the comfort they anticipated?</t>
        </is>
      </c>
      <c r="H52" s="27" t="inlineStr">
        <is>
          <t>R029</t>
        </is>
      </c>
      <c r="I52" s="25" t="inlineStr">
        <is>
          <t>One reviewer said the material was not as soft as they had hoped and returned it.</t>
        </is>
      </c>
      <c r="J52" s="25" t="inlineStr">
        <is>
          <t>Yes. One reviewer said the material was not as soft as they had hoped and returned it. [R029]</t>
        </is>
      </c>
      <c r="K52" s="27" t="inlineStr">
        <is>
          <t>Answer</t>
        </is>
      </c>
      <c r="L52" s="28" t="n">
        <v>1</v>
      </c>
      <c r="M52" s="28" t="inlineStr">
        <is>
          <t>Supplementary_Paraphrase</t>
        </is>
      </c>
    </row>
    <row r="53">
      <c r="A53" s="29" t="inlineStr">
        <is>
          <t>Q44</t>
        </is>
      </c>
      <c r="B53" s="29" t="n">
        <v>895</v>
      </c>
      <c r="C53" s="26" t="inlineStr">
        <is>
          <t>Fine gauge</t>
        </is>
      </c>
      <c r="D53" s="30" t="inlineStr">
        <is>
          <t>Paraphrase</t>
        </is>
      </c>
      <c r="E53" s="26" t="inlineStr">
        <is>
          <t>Fit</t>
        </is>
      </c>
      <c r="F53" s="26" t="inlineStr">
        <is>
          <t>Yes</t>
        </is>
      </c>
      <c r="G53" s="25" t="inlineStr">
        <is>
          <t>Is this knit shaped to follow the waist rather than hanging loose?</t>
        </is>
      </c>
      <c r="H53" s="27" t="inlineStr">
        <is>
          <t>R041</t>
        </is>
      </c>
      <c r="I53" s="25" t="inlineStr">
        <is>
          <t>One reviewer liked that it is narrow on top and tapers out so it does not look like a sack.</t>
        </is>
      </c>
      <c r="J53" s="25" t="inlineStr">
        <is>
          <t>Yes. One reviewer liked that it is narrow on top and tapers out so it does not look like a sack. [R041]</t>
        </is>
      </c>
      <c r="K53" s="27" t="inlineStr">
        <is>
          <t>Answer</t>
        </is>
      </c>
      <c r="L53" s="28" t="n">
        <v>1</v>
      </c>
      <c r="M53" s="28" t="inlineStr">
        <is>
          <t>Supplementary_Paraphrase</t>
        </is>
      </c>
    </row>
    <row r="54">
      <c r="A54" s="29" t="inlineStr">
        <is>
          <t>Q45</t>
        </is>
      </c>
      <c r="B54" s="29" t="n">
        <v>936</v>
      </c>
      <c r="C54" s="26" t="inlineStr">
        <is>
          <t>Sweaters</t>
        </is>
      </c>
      <c r="D54" s="30" t="inlineStr">
        <is>
          <t>Paraphrase</t>
        </is>
      </c>
      <c r="E54" s="26" t="inlineStr">
        <is>
          <t>Quality</t>
        </is>
      </c>
      <c r="F54" s="26" t="inlineStr">
        <is>
          <t>Yes</t>
        </is>
      </c>
      <c r="G54" s="25" t="inlineStr">
        <is>
          <t>Did any shopper call out the inner layer materials?</t>
        </is>
      </c>
      <c r="H54" s="27" t="inlineStr">
        <is>
          <t>R052</t>
        </is>
      </c>
      <c r="I54" s="25" t="inlineStr">
        <is>
          <t>One reviewer noted the lining contains a polyester-rayon blend.</t>
        </is>
      </c>
      <c r="J54" s="25" t="inlineStr">
        <is>
          <t>Yes. One reviewer noted the lining contains a polyester-rayon blend. [R052]</t>
        </is>
      </c>
      <c r="K54" s="27" t="inlineStr">
        <is>
          <t>Answer</t>
        </is>
      </c>
      <c r="L54" s="28" t="n">
        <v>1</v>
      </c>
      <c r="M54" s="28" t="inlineStr">
        <is>
          <t>Supplementary_Paraphrase</t>
        </is>
      </c>
    </row>
    <row r="55">
      <c r="A55" s="29" t="inlineStr">
        <is>
          <t>Q46</t>
        </is>
      </c>
      <c r="B55" s="29" t="n">
        <v>936</v>
      </c>
      <c r="C55" s="26" t="inlineStr">
        <is>
          <t>Sweaters</t>
        </is>
      </c>
      <c r="D55" s="30" t="inlineStr">
        <is>
          <t>Paraphrase</t>
        </is>
      </c>
      <c r="E55" s="26" t="inlineStr">
        <is>
          <t>Quality</t>
        </is>
      </c>
      <c r="F55" s="26" t="inlineStr">
        <is>
          <t>Yes</t>
        </is>
      </c>
      <c r="G55" s="25" t="inlineStr">
        <is>
          <t>Is the material gentle against the skin while still holding its shape?</t>
        </is>
      </c>
      <c r="H55" s="27" t="inlineStr">
        <is>
          <t>R054</t>
        </is>
      </c>
      <c r="I55" s="25" t="inlineStr">
        <is>
          <t>One reviewer described the fabric as very soft and the cut as tapered to the body.</t>
        </is>
      </c>
      <c r="J55" s="25" t="inlineStr">
        <is>
          <t>Yes. One reviewer described the fabric as very soft and the cut as tapered to the body. [R054]</t>
        </is>
      </c>
      <c r="K55" s="27" t="inlineStr">
        <is>
          <t>Answer</t>
        </is>
      </c>
      <c r="L55" s="28" t="n">
        <v>1</v>
      </c>
      <c r="M55" s="28" t="inlineStr">
        <is>
          <t>Supplementary_Paraphrase</t>
        </is>
      </c>
    </row>
    <row r="56">
      <c r="A56" s="29" t="inlineStr">
        <is>
          <t>Q47</t>
        </is>
      </c>
      <c r="B56" s="29" t="n">
        <v>1078</v>
      </c>
      <c r="C56" s="26" t="inlineStr">
        <is>
          <t>Dresses</t>
        </is>
      </c>
      <c r="D56" s="30" t="inlineStr">
        <is>
          <t>Paraphrase</t>
        </is>
      </c>
      <c r="E56" s="26" t="inlineStr">
        <is>
          <t>Fit</t>
        </is>
      </c>
      <c r="F56" s="26" t="inlineStr">
        <is>
          <t>Yes</t>
        </is>
      </c>
      <c r="G56" s="25" t="inlineStr">
        <is>
          <t>Would this garment require layering over pants due to its length?</t>
        </is>
      </c>
      <c r="H56" s="27" t="inlineStr">
        <is>
          <t>R085</t>
        </is>
      </c>
      <c r="I56" s="25" t="inlineStr">
        <is>
          <t>One reviewer said the dress is very short and pairs well with leggings and boots.</t>
        </is>
      </c>
      <c r="J56" s="25" t="inlineStr">
        <is>
          <t>Yes. One reviewer said the dress is very short and pairs well with leggings and boots. [R085]</t>
        </is>
      </c>
      <c r="K56" s="27" t="inlineStr">
        <is>
          <t>Answer</t>
        </is>
      </c>
      <c r="L56" s="28" t="n">
        <v>1</v>
      </c>
      <c r="M56" s="28" t="inlineStr">
        <is>
          <t>Supplementary_Paraphrase</t>
        </is>
      </c>
    </row>
    <row r="57">
      <c r="A57" s="29" t="inlineStr">
        <is>
          <t>Q48</t>
        </is>
      </c>
      <c r="B57" s="29" t="n">
        <v>1078</v>
      </c>
      <c r="C57" s="26" t="inlineStr">
        <is>
          <t>Dresses</t>
        </is>
      </c>
      <c r="D57" s="30" t="inlineStr">
        <is>
          <t>Paraphrase</t>
        </is>
      </c>
      <c r="E57" s="26" t="inlineStr">
        <is>
          <t>Fit</t>
        </is>
      </c>
      <c r="F57" s="26" t="inlineStr">
        <is>
          <t>Yes</t>
        </is>
      </c>
      <c r="G57" s="25" t="inlineStr">
        <is>
          <t>Do buyers report feeling at ease in this dress while still looking put-together?</t>
        </is>
      </c>
      <c r="H57" s="27" t="inlineStr">
        <is>
          <t>R086</t>
        </is>
      </c>
      <c r="I57" s="25" t="inlineStr">
        <is>
          <t>One reviewer said the dress is both comfortable and flattering.</t>
        </is>
      </c>
      <c r="J57" s="25" t="inlineStr">
        <is>
          <t>Yes. One reviewer said the dress is both comfortable and flattering. [R086]</t>
        </is>
      </c>
      <c r="K57" s="27" t="inlineStr">
        <is>
          <t>Answer</t>
        </is>
      </c>
      <c r="L57" s="28" t="n">
        <v>1</v>
      </c>
      <c r="M57" s="28" t="inlineStr">
        <is>
          <t>Supplementary_Paraphrase</t>
        </is>
      </c>
    </row>
    <row r="58">
      <c r="A58" s="29" t="inlineStr">
        <is>
          <t>Q49</t>
        </is>
      </c>
      <c r="B58" s="29" t="n">
        <v>1094</v>
      </c>
      <c r="C58" s="26" t="inlineStr">
        <is>
          <t>Dresses</t>
        </is>
      </c>
      <c r="D58" s="30" t="inlineStr">
        <is>
          <t>Paraphrase</t>
        </is>
      </c>
      <c r="E58" s="26" t="inlineStr">
        <is>
          <t>Fit</t>
        </is>
      </c>
      <c r="F58" s="26" t="inlineStr">
        <is>
          <t>Yes</t>
        </is>
      </c>
      <c r="G58" s="25" t="inlineStr">
        <is>
          <t>Does this dress follow the body's contours without feeling rigid?</t>
        </is>
      </c>
      <c r="H58" s="27" t="inlineStr">
        <is>
          <t>R092</t>
        </is>
      </c>
      <c r="I58" s="25" t="inlineStr">
        <is>
          <t>One reviewer said it fits true to size like a glove and the material is not stiff.</t>
        </is>
      </c>
      <c r="J58" s="25" t="inlineStr">
        <is>
          <t>Yes. One reviewer said it fits true to size like a glove and the material is not stiff. [R092]</t>
        </is>
      </c>
      <c r="K58" s="27" t="inlineStr">
        <is>
          <t>Answer</t>
        </is>
      </c>
      <c r="L58" s="28" t="n">
        <v>1</v>
      </c>
      <c r="M58" s="28" t="inlineStr">
        <is>
          <t>Supplementary_Paraphrase</t>
        </is>
      </c>
    </row>
    <row r="59">
      <c r="A59" s="29" t="inlineStr">
        <is>
          <t>Q50</t>
        </is>
      </c>
      <c r="B59" s="29" t="n">
        <v>1094</v>
      </c>
      <c r="C59" s="26" t="inlineStr">
        <is>
          <t>Dresses</t>
        </is>
      </c>
      <c r="D59" s="30" t="inlineStr">
        <is>
          <t>Paraphrase</t>
        </is>
      </c>
      <c r="E59" s="26" t="inlineStr">
        <is>
          <t>Fit</t>
        </is>
      </c>
      <c r="F59" s="26" t="inlineStr">
        <is>
          <t>Yes</t>
        </is>
      </c>
      <c r="G59" s="25" t="inlineStr">
        <is>
          <t>Who should skip this dress based on the upper-body cut?</t>
        </is>
      </c>
      <c r="H59" s="27" t="inlineStr">
        <is>
          <t>R093</t>
        </is>
      </c>
      <c r="I59" s="25" t="inlineStr">
        <is>
          <t>One reviewer said the fit is not for chesty girls.</t>
        </is>
      </c>
      <c r="J59" s="25" t="inlineStr">
        <is>
          <t>One reviewer said the fit is not for chesty girls. [R093]</t>
        </is>
      </c>
      <c r="K59" s="27" t="inlineStr">
        <is>
          <t>Answer</t>
        </is>
      </c>
      <c r="L59" s="28" t="n">
        <v>1</v>
      </c>
      <c r="M59" s="28" t="inlineStr">
        <is>
          <t>Supplementary_Paraphrase</t>
        </is>
      </c>
    </row>
    <row r="60">
      <c r="A60" s="29" t="inlineStr">
        <is>
          <t>Q51</t>
        </is>
      </c>
      <c r="B60" s="29" t="n">
        <v>1094</v>
      </c>
      <c r="C60" s="26" t="inlineStr">
        <is>
          <t>Dresses</t>
        </is>
      </c>
      <c r="D60" s="30" t="inlineStr">
        <is>
          <t>Paraphrase</t>
        </is>
      </c>
      <c r="E60" s="26" t="inlineStr">
        <is>
          <t>Quality</t>
        </is>
      </c>
      <c r="F60" s="26" t="inlineStr">
        <is>
          <t>Yes</t>
        </is>
      </c>
      <c r="G60" s="25" t="inlineStr">
        <is>
          <t>Do the hues on screen match how the garment looks when received?</t>
        </is>
      </c>
      <c r="H60" s="27" t="inlineStr">
        <is>
          <t>R099</t>
        </is>
      </c>
      <c r="I60" s="25" t="inlineStr">
        <is>
          <t>One reviewer said the colors are much less vibrant in person than online.</t>
        </is>
      </c>
      <c r="J60" s="25" t="inlineStr">
        <is>
          <t>No. One reviewer said the colors are much less vibrant in person than online. [R099]</t>
        </is>
      </c>
      <c r="K60" s="27" t="inlineStr">
        <is>
          <t>Answer</t>
        </is>
      </c>
      <c r="L60" s="28" t="n">
        <v>1</v>
      </c>
      <c r="M60" s="28" t="inlineStr">
        <is>
          <t>Supplementary_Paraphrase</t>
        </is>
      </c>
    </row>
    <row r="61">
      <c r="A61" s="29" t="inlineStr">
        <is>
          <t>Q52</t>
        </is>
      </c>
      <c r="B61" s="29" t="n">
        <v>850</v>
      </c>
      <c r="C61" s="26" t="inlineStr">
        <is>
          <t>Blouses</t>
        </is>
      </c>
      <c r="D61" s="30" t="inlineStr">
        <is>
          <t>Paraphrase</t>
        </is>
      </c>
      <c r="E61" s="26" t="inlineStr">
        <is>
          <t>Fit</t>
        </is>
      </c>
      <c r="F61" s="26" t="inlineStr">
        <is>
          <t>Yes</t>
        </is>
      </c>
      <c r="G61" s="25" t="inlineStr">
        <is>
          <t>Is this top suitable across different body shapes?</t>
        </is>
      </c>
      <c r="H61" s="27" t="inlineStr">
        <is>
          <t>R014</t>
        </is>
      </c>
      <c r="I61" s="25" t="inlineStr">
        <is>
          <t>One reviewer said the vintage-bohemian combination seems flattering on all figure types.</t>
        </is>
      </c>
      <c r="J61" s="25" t="inlineStr">
        <is>
          <t>Yes. One reviewer said the vintage-bohemian combination seems flattering on all figure types. [R014]</t>
        </is>
      </c>
      <c r="K61" s="27" t="inlineStr">
        <is>
          <t>Answer</t>
        </is>
      </c>
      <c r="L61" s="28" t="n">
        <v>1</v>
      </c>
      <c r="M61" s="28" t="inlineStr">
        <is>
          <t>Supplementary_Paraphrase</t>
        </is>
      </c>
    </row>
    <row r="62">
      <c r="A62" s="29" t="inlineStr">
        <is>
          <t>Q53</t>
        </is>
      </c>
      <c r="B62" s="29" t="n">
        <v>895</v>
      </c>
      <c r="C62" s="26" t="inlineStr">
        <is>
          <t>Fine gauge</t>
        </is>
      </c>
      <c r="D62" s="30" t="inlineStr">
        <is>
          <t>Paraphrase</t>
        </is>
      </c>
      <c r="E62" s="26" t="inlineStr">
        <is>
          <t>Quality</t>
        </is>
      </c>
      <c r="F62" s="26" t="inlineStr">
        <is>
          <t>Yes</t>
        </is>
      </c>
      <c r="G62" s="25" t="inlineStr">
        <is>
          <t>Does the craftsmanship exceed what the listing photos suggest?</t>
        </is>
      </c>
      <c r="H62" s="27" t="inlineStr">
        <is>
          <t>R047</t>
        </is>
      </c>
      <c r="I62" s="25" t="inlineStr">
        <is>
          <t>One reviewer said it is even prettier in person and beautifully made.</t>
        </is>
      </c>
      <c r="J62" s="25" t="inlineStr">
        <is>
          <t>Yes. One reviewer said it is even prettier in person and beautifully made. [R047]</t>
        </is>
      </c>
      <c r="K62" s="27" t="inlineStr">
        <is>
          <t>Answer</t>
        </is>
      </c>
      <c r="L62" s="28" t="n">
        <v>1</v>
      </c>
      <c r="M62" s="28" t="inlineStr">
        <is>
          <t>Supplementary_Paraphrase</t>
        </is>
      </c>
    </row>
    <row r="63">
      <c r="A63" s="29" t="inlineStr">
        <is>
          <t>Q54</t>
        </is>
      </c>
      <c r="B63" s="29" t="n">
        <v>936</v>
      </c>
      <c r="C63" s="26" t="inlineStr">
        <is>
          <t>Sweaters</t>
        </is>
      </c>
      <c r="D63" s="30" t="inlineStr">
        <is>
          <t>Paraphrase</t>
        </is>
      </c>
      <c r="E63" s="26" t="inlineStr">
        <is>
          <t>Quality</t>
        </is>
      </c>
      <c r="F63" s="26" t="inlineStr">
        <is>
          <t>No</t>
        </is>
      </c>
      <c r="G63" s="25" t="inlineStr">
        <is>
          <t>Does this coat have exterior pockets?</t>
        </is>
      </c>
      <c r="H63" s="27" t="inlineStr"/>
      <c r="I63" s="25" t="inlineStr">
        <is>
          <t>No review for Clothing ID 936 mentions exterior pockets.</t>
        </is>
      </c>
      <c r="J63" s="25" t="inlineStr">
        <is>
          <t>I don't know. The available reviews do not provide enough evidence.</t>
        </is>
      </c>
      <c r="K63" s="27" t="inlineStr">
        <is>
          <t>I don't know</t>
        </is>
      </c>
      <c r="L63" s="28" t="n">
        <v>0</v>
      </c>
      <c r="M63" s="28" t="inlineStr">
        <is>
          <t>Supplementary_Paraphrase</t>
        </is>
      </c>
    </row>
    <row r="64">
      <c r="A64" s="29" t="inlineStr">
        <is>
          <t>Q55</t>
        </is>
      </c>
      <c r="B64" s="29" t="n">
        <v>836</v>
      </c>
      <c r="C64" s="26" t="inlineStr">
        <is>
          <t>Blouses</t>
        </is>
      </c>
      <c r="D64" s="30" t="inlineStr">
        <is>
          <t>Paraphrase</t>
        </is>
      </c>
      <c r="E64" s="26" t="inlineStr">
        <is>
          <t>Quality</t>
        </is>
      </c>
      <c r="F64" s="26" t="inlineStr">
        <is>
          <t>No</t>
        </is>
      </c>
      <c r="G64" s="25" t="inlineStr">
        <is>
          <t>Does this blouse resist wrinkling after a full day of wear?</t>
        </is>
      </c>
      <c r="H64" s="27" t="inlineStr"/>
      <c r="I64" s="25" t="inlineStr">
        <is>
          <t>No review for Clothing ID 836 mentions wrinkle resistance.</t>
        </is>
      </c>
      <c r="J64" s="25" t="inlineStr">
        <is>
          <t>I don't know. The available reviews do not provide enough evidence.</t>
        </is>
      </c>
      <c r="K64" s="27" t="inlineStr">
        <is>
          <t>I don't know</t>
        </is>
      </c>
      <c r="L64" s="28" t="n">
        <v>0</v>
      </c>
      <c r="M64" s="28" t="inlineStr">
        <is>
          <t>Supplementary_Paraphrase</t>
        </is>
      </c>
    </row>
  </sheetData>
  <mergeCells count="12">
    <mergeCell ref="A4:B4"/>
    <mergeCell ref="G4:H4"/>
    <mergeCell ref="E4:F4"/>
    <mergeCell ref="I4:J4"/>
    <mergeCell ref="C5:D5"/>
    <mergeCell ref="A5:B5"/>
    <mergeCell ref="G5:H5"/>
    <mergeCell ref="E5:F5"/>
    <mergeCell ref="K5:L5"/>
    <mergeCell ref="I5:J5"/>
    <mergeCell ref="K4:L4"/>
    <mergeCell ref="C4:D4"/>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tabColor rgb="FF2F75B5"/>
    <outlinePr summaryBelow="1" summaryRight="1"/>
    <pageSetUpPr/>
  </sheetPr>
  <dimension ref="A1:F60"/>
  <sheetViews>
    <sheetView showGridLines="0" workbookViewId="0">
      <pane xSplit="4" ySplit="5" topLeftCell="E6" activePane="bottomRight" state="frozen"/>
      <selection activeCell="A1" sqref="A1"/>
    </sheetView>
  </sheetViews>
  <sheetFormatPr baseColWidth="8" defaultRowHeight="15"/>
  <cols>
    <col width="12" customWidth="1" style="36" min="1" max="1"/>
    <col width="14" customWidth="1" style="36" min="2" max="2"/>
    <col width="11" customWidth="1" style="36" min="3" max="3"/>
    <col width="12" customWidth="1" style="36" min="4" max="4"/>
    <col width="92" customWidth="1" style="36" min="5" max="5"/>
    <col width="44" customWidth="1" style="36" min="6" max="6"/>
  </cols>
  <sheetData>
    <row r="1">
      <c r="A1" s="1" t="n"/>
      <c r="B1" s="1" t="n"/>
      <c r="C1" s="1" t="n"/>
      <c r="D1" s="1" t="n"/>
      <c r="E1" s="1" t="n"/>
      <c r="F1" s="1" t="n"/>
    </row>
    <row r="2">
      <c r="A2" s="2" t="inlineStr">
        <is>
          <t>Gold evidence audit</t>
        </is>
      </c>
      <c r="B2" s="1" t="n"/>
      <c r="C2" s="1" t="n"/>
      <c r="D2" s="1" t="n"/>
      <c r="E2" s="1" t="n"/>
      <c r="F2" s="1" t="n"/>
    </row>
    <row r="3">
      <c r="A3" s="3" t="inlineStr">
        <is>
          <t>Each row links one answerable question to an exact review in the 100-review corpus. Unanswerable questions intentionally have no gold evidence rows.</t>
        </is>
      </c>
      <c r="B3" s="1" t="n"/>
      <c r="C3" s="1" t="n"/>
      <c r="D3" s="1" t="n"/>
      <c r="E3" s="1" t="n"/>
      <c r="F3" s="1" t="n"/>
    </row>
    <row r="4">
      <c r="A4" s="1" t="n"/>
      <c r="B4" s="1" t="n"/>
      <c r="C4" s="1" t="n"/>
      <c r="D4" s="1" t="n"/>
      <c r="E4" s="1" t="n"/>
      <c r="F4" s="1" t="n"/>
    </row>
    <row r="5" ht="30" customHeight="1" s="36">
      <c r="A5" s="23" t="inlineStr">
        <is>
          <t>Question_ID</t>
        </is>
      </c>
      <c r="B5" s="23" t="inlineStr">
        <is>
          <t>Clothing_ID</t>
        </is>
      </c>
      <c r="C5" s="23" t="inlineStr">
        <is>
          <t>Topic</t>
        </is>
      </c>
      <c r="D5" s="23" t="inlineStr">
        <is>
          <t>Review_ID</t>
        </is>
      </c>
      <c r="E5" s="23" t="inlineStr">
        <is>
          <t>Exact_Review_Text</t>
        </is>
      </c>
      <c r="F5" s="23" t="inlineStr">
        <is>
          <t>Why_Relevant</t>
        </is>
      </c>
    </row>
    <row r="6" ht="96" customHeight="1" s="36">
      <c r="A6" s="28" t="inlineStr">
        <is>
          <t>Q01</t>
        </is>
      </c>
      <c r="B6" s="28" t="n">
        <v>836</v>
      </c>
      <c r="C6" s="28" t="inlineStr">
        <is>
          <t>Fit</t>
        </is>
      </c>
      <c r="D6" s="28" t="inlineStr">
        <is>
          <t>R006</t>
        </is>
      </c>
      <c r="E6" s="25" t="inlineStr">
        <is>
          <t>I find that maeve shirts tend to run a little small. i'm usually an 8 but needed this in a 10. this shirt is reallly just perfect. great sleeve length. just the right amount of v neck. beautiful pattern with a vintage feel. i love the combo of stripes, polka dots and sweet flowers.</t>
        </is>
      </c>
      <c r="F6" s="25" t="inlineStr">
        <is>
          <t>The reviewer reports their usual size and the larger size they needed.</t>
        </is>
      </c>
    </row>
    <row r="7" ht="96" customHeight="1" s="36">
      <c r="A7" s="28" t="inlineStr">
        <is>
          <t>Q02</t>
        </is>
      </c>
      <c r="B7" s="28" t="n">
        <v>836</v>
      </c>
      <c r="C7" s="28" t="inlineStr">
        <is>
          <t>Fit</t>
        </is>
      </c>
      <c r="D7" s="28" t="inlineStr">
        <is>
          <t>R001</t>
        </is>
      </c>
      <c r="E7" s="25" t="inlineStr">
        <is>
          <t>I ordered ivory in xl because this brand tends to run tight if you're well endowed. it's a beautiful color and i love the contrasting plaid lining the inside of the collar and cuffs. haven't decided about keeping it because it looks oversized (but cozy) and it's really long. it almost touches the top of my knees in back. sooooo pretty though.</t>
        </is>
      </c>
      <c r="F7" s="25" t="inlineStr">
        <is>
          <t>The review explicitly describes an oversized fit and unusually long back length.</t>
        </is>
      </c>
    </row>
    <row r="8" ht="96" customHeight="1" s="36">
      <c r="A8" s="28" t="inlineStr">
        <is>
          <t>Q03</t>
        </is>
      </c>
      <c r="B8" s="28" t="n">
        <v>836</v>
      </c>
      <c r="C8" s="28" t="inlineStr">
        <is>
          <t>Quality</t>
        </is>
      </c>
      <c r="D8" s="28" t="inlineStr">
        <is>
          <t>R004</t>
        </is>
      </c>
      <c r="E8" s="25" t="inlineStr">
        <is>
          <t>I purchased the floral patterned version and get complimented every time i wear it. i found it to be pretty true to size, even after washing. it's a little sheer, so you'd definitely want to wear a camisole underneath for work. it's a great top for spring/summer!</t>
        </is>
      </c>
      <c r="F8" s="25" t="inlineStr">
        <is>
          <t>The reviewer calls the top sheer and recommends a camisole for work.</t>
        </is>
      </c>
    </row>
    <row r="9" ht="96" customHeight="1" s="36">
      <c r="A9" s="28" t="inlineStr">
        <is>
          <t>Q03</t>
        </is>
      </c>
      <c r="B9" s="28" t="n">
        <v>836</v>
      </c>
      <c r="C9" s="28" t="inlineStr">
        <is>
          <t>Quality</t>
        </is>
      </c>
      <c r="D9" s="28" t="inlineStr">
        <is>
          <t>R005</t>
        </is>
      </c>
      <c r="E9" s="25" t="inlineStr">
        <is>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c r="F9" s="25" t="inlineStr">
        <is>
          <t>The reviewer says the top is somewhat see-through and discusses when a camisole may not be needed.</t>
        </is>
      </c>
    </row>
    <row r="10" ht="96" customHeight="1" s="36">
      <c r="A10" s="28" t="inlineStr">
        <is>
          <t>Q03</t>
        </is>
      </c>
      <c r="B10" s="28" t="n">
        <v>836</v>
      </c>
      <c r="C10" s="28" t="inlineStr">
        <is>
          <t>Quality</t>
        </is>
      </c>
      <c r="D10" s="28" t="inlineStr">
        <is>
          <t>R007</t>
        </is>
      </c>
      <c r="E10" s="25" t="inlineStr">
        <is>
          <t>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t>
        </is>
      </c>
      <c r="F10" s="25" t="inlineStr">
        <is>
          <t>The reviewer describes the lightweight fabric as slightly sheer.</t>
        </is>
      </c>
    </row>
    <row r="11" ht="96" customHeight="1" s="36">
      <c r="A11" s="28" t="inlineStr">
        <is>
          <t>Q04</t>
        </is>
      </c>
      <c r="B11" s="28" t="n">
        <v>836</v>
      </c>
      <c r="C11" s="28" t="inlineStr">
        <is>
          <t>Quality</t>
        </is>
      </c>
      <c r="D11" s="28" t="inlineStr">
        <is>
          <t>R005</t>
        </is>
      </c>
      <c r="E11" s="25" t="inlineStr">
        <is>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c r="F11" s="25" t="inlineStr">
        <is>
          <t>The review calls it a lightweight, comfortable summer piece.</t>
        </is>
      </c>
    </row>
    <row r="12" ht="96" customHeight="1" s="36">
      <c r="A12" s="28" t="inlineStr">
        <is>
          <t>Q04</t>
        </is>
      </c>
      <c r="B12" s="28" t="n">
        <v>836</v>
      </c>
      <c r="C12" s="28" t="inlineStr">
        <is>
          <t>Quality</t>
        </is>
      </c>
      <c r="D12" s="28" t="inlineStr">
        <is>
          <t>R007</t>
        </is>
      </c>
      <c r="E12" s="25" t="inlineStr">
        <is>
          <t>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t>
        </is>
      </c>
      <c r="F12" s="25" t="inlineStr">
        <is>
          <t>The review explicitly says the fabric is lightweight.</t>
        </is>
      </c>
    </row>
    <row r="13" ht="96" customHeight="1" s="36">
      <c r="A13" s="28" t="inlineStr">
        <is>
          <t>Q04</t>
        </is>
      </c>
      <c r="B13" s="28" t="n">
        <v>836</v>
      </c>
      <c r="C13" s="28" t="inlineStr">
        <is>
          <t>Quality</t>
        </is>
      </c>
      <c r="D13" s="28" t="inlineStr">
        <is>
          <t>R008</t>
        </is>
      </c>
      <c r="E13" s="25" t="inlineStr">
        <is>
          <t>The blue motif is a gorgeous indigo with an interesting pattern. a short tunic that drapes nicely and is flattering. very happy with this purchase. i plan to buy a 2nd for my mom to keep her cool and stylish.</t>
        </is>
      </c>
      <c r="F13" s="25" t="inlineStr">
        <is>
          <t>The reviewer describes an airy top that can help keep the wearer cool.</t>
        </is>
      </c>
    </row>
    <row r="14" ht="96" customHeight="1" s="36">
      <c r="A14" s="28" t="inlineStr">
        <is>
          <t>Q05</t>
        </is>
      </c>
      <c r="B14" s="28" t="n">
        <v>850</v>
      </c>
      <c r="C14" s="28" t="inlineStr">
        <is>
          <t>Fit</t>
        </is>
      </c>
      <c r="D14" s="28" t="inlineStr">
        <is>
          <t>R013</t>
        </is>
      </c>
      <c r="E14" s="25" t="inlineStr">
        <is>
          <t>Cropped and wide- would look cuter on someone who is more petite. was too wide and cropped for me. very sheer.</t>
        </is>
      </c>
      <c r="F14" s="25" t="inlineStr">
        <is>
          <t>The reviewer describes the blouse as cropped and wide.</t>
        </is>
      </c>
    </row>
    <row r="15" ht="96" customHeight="1" s="36">
      <c r="A15" s="28" t="inlineStr">
        <is>
          <t>Q05</t>
        </is>
      </c>
      <c r="B15" s="28" t="n">
        <v>850</v>
      </c>
      <c r="C15" s="28" t="inlineStr">
        <is>
          <t>Fit</t>
        </is>
      </c>
      <c r="D15" s="28" t="inlineStr">
        <is>
          <t>R015</t>
        </is>
      </c>
      <c r="E15" s="25" t="inlineStr">
        <is>
          <t>I love the style of this top. i just wish there were a slimmer version of it. unfortunately, this top doesn't suit my long, slim midsection. it is so wide, it completely hides the waist. i think it would look adorable on a different body type.</t>
        </is>
      </c>
      <c r="F15" s="25" t="inlineStr">
        <is>
          <t>The reviewer says the blouse is so wide that it hides the waist.</t>
        </is>
      </c>
    </row>
    <row r="16" ht="96" customHeight="1" s="36">
      <c r="A16" s="28" t="inlineStr">
        <is>
          <t>Q06</t>
        </is>
      </c>
      <c r="B16" s="28" t="n">
        <v>850</v>
      </c>
      <c r="C16" s="28" t="inlineStr">
        <is>
          <t>Fit</t>
        </is>
      </c>
      <c r="D16" s="28" t="inlineStr">
        <is>
          <t>R016</t>
        </is>
      </c>
      <c r="E16" s="25" t="inlineStr">
        <is>
          <t>This top is great for spring- it's super light and can be dressed up or down depending on what you're wearing it for. fits true to size and is great quality.</t>
        </is>
      </c>
      <c r="F16" s="25" t="inlineStr">
        <is>
          <t>The review explicitly says the top fits true to size.</t>
        </is>
      </c>
    </row>
    <row r="17" ht="96" customHeight="1" s="36">
      <c r="A17" s="28" t="inlineStr">
        <is>
          <t>Q06</t>
        </is>
      </c>
      <c r="B17" s="28" t="n">
        <v>850</v>
      </c>
      <c r="C17" s="28" t="inlineStr">
        <is>
          <t>Fit</t>
        </is>
      </c>
      <c r="D17" s="28" t="inlineStr">
        <is>
          <t>R018</t>
        </is>
      </c>
      <c r="E17" s="25" t="inlineStr">
        <is>
          <t>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is>
      </c>
      <c r="F17" s="25" t="inlineStr">
        <is>
          <t>The review explicitly says it is true to size.</t>
        </is>
      </c>
    </row>
    <row r="18" ht="96" customHeight="1" s="36">
      <c r="A18" s="28" t="inlineStr">
        <is>
          <t>Q07</t>
        </is>
      </c>
      <c r="B18" s="28" t="n">
        <v>850</v>
      </c>
      <c r="C18" s="28" t="inlineStr">
        <is>
          <t>Quality</t>
        </is>
      </c>
      <c r="D18" s="28" t="inlineStr">
        <is>
          <t>R013</t>
        </is>
      </c>
      <c r="E18" s="25" t="inlineStr">
        <is>
          <t>Cropped and wide- would look cuter on someone who is more petite. was too wide and cropped for me. very sheer.</t>
        </is>
      </c>
      <c r="F18" s="25" t="inlineStr">
        <is>
          <t>The review explicitly calls the blouse very sheer.</t>
        </is>
      </c>
    </row>
    <row r="19" ht="96" customHeight="1" s="36">
      <c r="A19" s="28" t="inlineStr">
        <is>
          <t>Q07</t>
        </is>
      </c>
      <c r="B19" s="28" t="n">
        <v>850</v>
      </c>
      <c r="C19" s="28" t="inlineStr">
        <is>
          <t>Quality</t>
        </is>
      </c>
      <c r="D19" s="28" t="inlineStr">
        <is>
          <t>R018</t>
        </is>
      </c>
      <c r="E19" s="25" t="inlineStr">
        <is>
          <t>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is>
      </c>
      <c r="F19" s="25" t="inlineStr">
        <is>
          <t>The review explicitly calls the material very thin and very sheer.</t>
        </is>
      </c>
    </row>
    <row r="20" ht="96" customHeight="1" s="36">
      <c r="A20" s="28" t="inlineStr">
        <is>
          <t>Q09</t>
        </is>
      </c>
      <c r="B20" s="28" t="n">
        <v>862</v>
      </c>
      <c r="C20" s="28" t="inlineStr">
        <is>
          <t>Fit</t>
        </is>
      </c>
      <c r="D20" s="28" t="inlineStr">
        <is>
          <t>R022</t>
        </is>
      </c>
      <c r="E20" s="25" t="inlineStr">
        <is>
          <t>This is a beautiful top. it's unique and not so ordinary. i bought my usual medium and i found that it fits tight across my chest. although i had a baby this year and i am nursing, so that could be why. if i bought again i would size up.</t>
        </is>
      </c>
      <c r="F20" s="25" t="inlineStr">
        <is>
          <t>The review directly reports tightness across the chest in the usual size.</t>
        </is>
      </c>
    </row>
    <row r="21" ht="96" customHeight="1" s="36">
      <c r="A21" s="28" t="inlineStr">
        <is>
          <t>Q10</t>
        </is>
      </c>
      <c r="B21" s="28" t="n">
        <v>862</v>
      </c>
      <c r="C21" s="28" t="inlineStr">
        <is>
          <t>Fit</t>
        </is>
      </c>
      <c r="D21" s="28" t="inlineStr">
        <is>
          <t>R024</t>
        </is>
      </c>
      <c r="E21" s="25" t="inlineStr">
        <is>
          <t>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t>
        </is>
      </c>
      <c r="F21" s="25" t="inlineStr">
        <is>
          <t>The reviewer says the top runs a little large.</t>
        </is>
      </c>
    </row>
    <row r="22" ht="96" customHeight="1" s="36">
      <c r="A22" s="28" t="inlineStr">
        <is>
          <t>Q10</t>
        </is>
      </c>
      <c r="B22" s="28" t="n">
        <v>862</v>
      </c>
      <c r="C22" s="28" t="inlineStr">
        <is>
          <t>Fit</t>
        </is>
      </c>
      <c r="D22" s="28" t="inlineStr">
        <is>
          <t>R025</t>
        </is>
      </c>
      <c r="E22" s="25" t="inlineStr">
        <is>
          <t>Great shirt to wear with white pants and wedges. i'm a teacher and this is perfect for warmer months for school or for casual evening out. it runs big but falls in such a way that it doesn't make the wearer look big; it falls elegantly and in a flattering way. great, versatile shirt.</t>
        </is>
      </c>
      <c r="F22" s="25" t="inlineStr">
        <is>
          <t>The reviewer says the top runs big.</t>
        </is>
      </c>
    </row>
    <row r="23" ht="96" customHeight="1" s="36">
      <c r="A23" s="28" t="inlineStr">
        <is>
          <t>Q10</t>
        </is>
      </c>
      <c r="B23" s="28" t="n">
        <v>862</v>
      </c>
      <c r="C23" s="28" t="inlineStr">
        <is>
          <t>Fit</t>
        </is>
      </c>
      <c r="D23" s="28" t="inlineStr">
        <is>
          <t>R027</t>
        </is>
      </c>
      <c r="E23" s="25" t="inlineStr">
        <is>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is>
      </c>
      <c r="F23" s="25" t="inlineStr">
        <is>
          <t>The reviewer normally wore medium but needed small.</t>
        </is>
      </c>
    </row>
    <row r="24" ht="96" customHeight="1" s="36">
      <c r="A24" s="28" t="inlineStr">
        <is>
          <t>Q11</t>
        </is>
      </c>
      <c r="B24" s="28" t="n">
        <v>862</v>
      </c>
      <c r="C24" s="28" t="inlineStr">
        <is>
          <t>Fit</t>
        </is>
      </c>
      <c r="D24" s="28" t="inlineStr">
        <is>
          <t>R026</t>
        </is>
      </c>
      <c r="E24" s="25" t="inlineStr">
        <is>
          <t>Love the fabric of this shirt even though it was thinner than i expected. it is soft to the skin and flattering. however i returned it because it is made for women with long torso and shorter shoulders.</t>
        </is>
      </c>
      <c r="F24" s="25" t="inlineStr">
        <is>
          <t>The review names the body proportions the cut appeared to suit.</t>
        </is>
      </c>
    </row>
    <row r="25" ht="96" customHeight="1" s="36">
      <c r="A25" s="28" t="inlineStr">
        <is>
          <t>Q12</t>
        </is>
      </c>
      <c r="B25" s="28" t="n">
        <v>862</v>
      </c>
      <c r="C25" s="28" t="inlineStr">
        <is>
          <t>Quality</t>
        </is>
      </c>
      <c r="D25" s="28" t="inlineStr">
        <is>
          <t>R024</t>
        </is>
      </c>
      <c r="E25" s="25" t="inlineStr">
        <is>
          <t>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t>
        </is>
      </c>
      <c r="F25" s="25" t="inlineStr">
        <is>
          <t>The review says the top is very soft and comfortable.</t>
        </is>
      </c>
    </row>
    <row r="26" ht="96" customHeight="1" s="36">
      <c r="A26" s="28" t="inlineStr">
        <is>
          <t>Q12</t>
        </is>
      </c>
      <c r="B26" s="28" t="n">
        <v>862</v>
      </c>
      <c r="C26" s="28" t="inlineStr">
        <is>
          <t>Quality</t>
        </is>
      </c>
      <c r="D26" s="28" t="inlineStr">
        <is>
          <t>R026</t>
        </is>
      </c>
      <c r="E26" s="25" t="inlineStr">
        <is>
          <t>Love the fabric of this shirt even though it was thinner than i expected. it is soft to the skin and flattering. however i returned it because it is made for women with long torso and shorter shoulders.</t>
        </is>
      </c>
      <c r="F26" s="25" t="inlineStr">
        <is>
          <t>The review says the fabric is soft to the skin.</t>
        </is>
      </c>
    </row>
    <row r="27" ht="96" customHeight="1" s="36">
      <c r="A27" s="28" t="inlineStr">
        <is>
          <t>Q12</t>
        </is>
      </c>
      <c r="B27" s="28" t="n">
        <v>862</v>
      </c>
      <c r="C27" s="28" t="inlineStr">
        <is>
          <t>Quality</t>
        </is>
      </c>
      <c r="D27" s="28" t="inlineStr">
        <is>
          <t>R028</t>
        </is>
      </c>
      <c r="E27" s="25" t="inlineStr">
        <is>
          <t>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t>
        </is>
      </c>
      <c r="F27" s="25" t="inlineStr">
        <is>
          <t>The review says the fabric is very comfortable.</t>
        </is>
      </c>
    </row>
    <row r="28" ht="96" customHeight="1" s="36">
      <c r="A28" s="28" t="inlineStr">
        <is>
          <t>Q14</t>
        </is>
      </c>
      <c r="B28" s="28" t="n">
        <v>895</v>
      </c>
      <c r="C28" s="28" t="inlineStr">
        <is>
          <t>Fit</t>
        </is>
      </c>
      <c r="D28" s="28" t="inlineStr">
        <is>
          <t>R046</t>
        </is>
      </c>
      <c r="E28" s="25" t="inlineStr">
        <is>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is>
      </c>
      <c r="F28" s="25" t="inlineStr">
        <is>
          <t>The reviewer describes acceptable shoulder and arm fit but excessive snugness at the hips.</t>
        </is>
      </c>
    </row>
    <row r="29" ht="96" customHeight="1" s="36">
      <c r="A29" s="28" t="inlineStr">
        <is>
          <t>Q15</t>
        </is>
      </c>
      <c r="B29" s="28" t="n">
        <v>895</v>
      </c>
      <c r="C29" s="28" t="inlineStr">
        <is>
          <t>Fit</t>
        </is>
      </c>
      <c r="D29" s="28" t="inlineStr">
        <is>
          <t>R048</t>
        </is>
      </c>
      <c r="E29" s="25" t="inlineStr">
        <is>
          <t>This is a very pretty sweater, a bit boxy and short but cute. i am 5'1" and ordered the regular xs in black. the thing i did not like about this sweater was the gold thread through the back lace. i would have kept this if it was plain black lace. just did not like that look.</t>
        </is>
      </c>
      <c r="F29" s="25" t="inlineStr">
        <is>
          <t>The review calls the sweater a bit boxy and short.</t>
        </is>
      </c>
    </row>
    <row r="30" ht="96" customHeight="1" s="36">
      <c r="A30" s="28" t="inlineStr">
        <is>
          <t>Q15</t>
        </is>
      </c>
      <c r="B30" s="28" t="n">
        <v>895</v>
      </c>
      <c r="C30" s="28" t="inlineStr">
        <is>
          <t>Fit</t>
        </is>
      </c>
      <c r="D30" s="28" t="inlineStr">
        <is>
          <t>R049</t>
        </is>
      </c>
      <c r="E30" s="25" t="inlineStr">
        <is>
          <t>I am going to disagree with reviewers who say this runs small. i found it very short and wide. that being said, it is meant to be cropped. i ordered a size small and it fit perfectly, albeit a little short. for reference, i am usually a size 6/medium in retailer shirts and dresses.</t>
        </is>
      </c>
      <c r="F30" s="25" t="inlineStr">
        <is>
          <t>The review says it is very short and wide and is meant to be cropped.</t>
        </is>
      </c>
    </row>
    <row r="31" ht="96" customHeight="1" s="36">
      <c r="A31" s="28" t="inlineStr">
        <is>
          <t>Q16</t>
        </is>
      </c>
      <c r="B31" s="28" t="n">
        <v>895</v>
      </c>
      <c r="C31" s="28" t="inlineStr">
        <is>
          <t>Quality</t>
        </is>
      </c>
      <c r="D31" s="28" t="inlineStr">
        <is>
          <t>R044</t>
        </is>
      </c>
      <c r="E31" s="25" t="inlineStr">
        <is>
          <t>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t>
        </is>
      </c>
      <c r="F31" s="25" t="inlineStr">
        <is>
          <t>The review describes the top as soft.</t>
        </is>
      </c>
    </row>
    <row r="32" ht="96" customHeight="1" s="36">
      <c r="A32" s="28" t="inlineStr">
        <is>
          <t>Q16</t>
        </is>
      </c>
      <c r="B32" s="28" t="n">
        <v>895</v>
      </c>
      <c r="C32" s="28" t="inlineStr">
        <is>
          <t>Quality</t>
        </is>
      </c>
      <c r="D32" s="28" t="inlineStr">
        <is>
          <t>R045</t>
        </is>
      </c>
      <c r="E32" s="25" t="inlineStr">
        <is>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is>
      </c>
      <c r="F32" s="25" t="inlineStr">
        <is>
          <t>The review says the material is soft and not itchy.</t>
        </is>
      </c>
    </row>
    <row r="33" ht="96" customHeight="1" s="36">
      <c r="A33" s="28" t="inlineStr">
        <is>
          <t>Q17</t>
        </is>
      </c>
      <c r="B33" s="28" t="n">
        <v>895</v>
      </c>
      <c r="C33" s="28" t="inlineStr">
        <is>
          <t>Quality</t>
        </is>
      </c>
      <c r="D33" s="28" t="inlineStr">
        <is>
          <t>R042</t>
        </is>
      </c>
      <c r="E33" s="25" t="inlineStr">
        <is>
          <t>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t>
        </is>
      </c>
      <c r="F33" s="25" t="inlineStr">
        <is>
          <t>The review describes the material as see-through and flimsy.</t>
        </is>
      </c>
    </row>
    <row r="34" ht="96" customHeight="1" s="36">
      <c r="A34" s="28" t="inlineStr">
        <is>
          <t>Q17</t>
        </is>
      </c>
      <c r="B34" s="28" t="n">
        <v>895</v>
      </c>
      <c r="C34" s="28" t="inlineStr">
        <is>
          <t>Quality</t>
        </is>
      </c>
      <c r="D34" s="28" t="inlineStr">
        <is>
          <t>R043</t>
        </is>
      </c>
      <c r="E34" s="25" t="inlineStr">
        <is>
          <t>Bought this item on sale and was very disappointed in the quality for the cost. fabric feels cheap, like it will snag easily and will stretch out quickly. did not flatter the female form- felt like a burlap sack. gorgeous blue color but not worth the price tag. returned it.</t>
        </is>
      </c>
      <c r="F34" s="25" t="inlineStr">
        <is>
          <t>The review says the fabric feels cheap and may snag or stretch out quickly.</t>
        </is>
      </c>
    </row>
    <row r="35" ht="96" customHeight="1" s="36">
      <c r="A35" s="28" t="inlineStr">
        <is>
          <t>Q19</t>
        </is>
      </c>
      <c r="B35" s="28" t="n">
        <v>936</v>
      </c>
      <c r="C35" s="28" t="inlineStr">
        <is>
          <t>Fit</t>
        </is>
      </c>
      <c r="D35" s="28" t="inlineStr">
        <is>
          <t>R051</t>
        </is>
      </c>
      <c r="E35" s="25" t="inlineStr">
        <is>
          <t>Love this. it's heavy/warm, stylish and a great throw on any outfit. oversized style.</t>
        </is>
      </c>
      <c r="F35" s="25" t="inlineStr">
        <is>
          <t>The review explicitly calls it an oversized style.</t>
        </is>
      </c>
    </row>
    <row r="36" ht="96" customHeight="1" s="36">
      <c r="A36" s="28" t="inlineStr">
        <is>
          <t>Q19</t>
        </is>
      </c>
      <c r="B36" s="28" t="n">
        <v>936</v>
      </c>
      <c r="C36" s="28" t="inlineStr">
        <is>
          <t>Fit</t>
        </is>
      </c>
      <c r="D36" s="28" t="inlineStr">
        <is>
          <t>R058</t>
        </is>
      </c>
      <c r="E36" s="25" t="inlineStr">
        <is>
          <t>I adore this sweater coat! i first bought the green color in my normal size online on a whim mostly due to the positive reviews. i was not disappointed at all! this sweater coat is soft boiled wool.. the green color is a deep forest that looks incredible with black, grays and berry colors. the fit appears to be magical. it manages to be both roomy and figure flattering, which is tricky with my figure (hourglass). i tend to need a defined waist, but somehow this coat manages to be very slimming</t>
        </is>
      </c>
      <c r="F36" s="25" t="inlineStr">
        <is>
          <t>The review says the fit is roomy and figure-flattering.</t>
        </is>
      </c>
    </row>
    <row r="37" ht="96" customHeight="1" s="36">
      <c r="A37" s="28" t="inlineStr">
        <is>
          <t>Q19</t>
        </is>
      </c>
      <c r="B37" s="28" t="n">
        <v>936</v>
      </c>
      <c r="C37" s="28" t="inlineStr">
        <is>
          <t>Fit</t>
        </is>
      </c>
      <c r="D37" s="28" t="inlineStr">
        <is>
          <t>R060</t>
        </is>
      </c>
      <c r="E37" s="25" t="inlineStr">
        <is>
          <t>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is>
      </c>
      <c r="F37" s="25" t="inlineStr">
        <is>
          <t>The review says it is roomy enough to layer but not too large or boxy.</t>
        </is>
      </c>
    </row>
    <row r="38" ht="96" customHeight="1" s="36">
      <c r="A38" s="28" t="inlineStr">
        <is>
          <t>Q20</t>
        </is>
      </c>
      <c r="B38" s="28" t="n">
        <v>936</v>
      </c>
      <c r="C38" s="28" t="inlineStr">
        <is>
          <t>Fit</t>
        </is>
      </c>
      <c r="D38" s="28" t="inlineStr">
        <is>
          <t>R059</t>
        </is>
      </c>
      <c r="E38" s="25" t="inlineStr">
        <is>
          <t>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t>
        </is>
      </c>
      <c r="F38" s="25" t="inlineStr">
        <is>
          <t>The petite reviewer directly reports an oversized regular medium and overly long sleeves.</t>
        </is>
      </c>
    </row>
    <row r="39" ht="96" customHeight="1" s="36">
      <c r="A39" s="28" t="inlineStr">
        <is>
          <t>Q21</t>
        </is>
      </c>
      <c r="B39" s="28" t="n">
        <v>936</v>
      </c>
      <c r="C39" s="28" t="inlineStr">
        <is>
          <t>Fit</t>
        </is>
      </c>
      <c r="D39" s="28" t="inlineStr">
        <is>
          <t>R053</t>
        </is>
      </c>
      <c r="E39" s="25" t="inlineStr">
        <is>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is>
      </c>
      <c r="F39" s="25" t="inlineStr">
        <is>
          <t>The review directly compares the actual length with the product photos.</t>
        </is>
      </c>
    </row>
    <row r="40" ht="96" customHeight="1" s="36">
      <c r="A40" s="28" t="inlineStr">
        <is>
          <t>Q22</t>
        </is>
      </c>
      <c r="B40" s="28" t="n">
        <v>936</v>
      </c>
      <c r="C40" s="28" t="inlineStr">
        <is>
          <t>Quality</t>
        </is>
      </c>
      <c r="D40" s="28" t="inlineStr">
        <is>
          <t>R056</t>
        </is>
      </c>
      <c r="E40" s="25" t="inlineStr">
        <is>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is>
      </c>
      <c r="F40" s="25" t="inlineStr">
        <is>
          <t>The review gives explicit temperature ranges and a layering condition.</t>
        </is>
      </c>
    </row>
    <row r="41" ht="96" customHeight="1" s="36">
      <c r="A41" s="28" t="inlineStr">
        <is>
          <t>Q23</t>
        </is>
      </c>
      <c r="B41" s="28" t="n">
        <v>936</v>
      </c>
      <c r="C41" s="28" t="inlineStr">
        <is>
          <t>Quality</t>
        </is>
      </c>
      <c r="D41" s="28" t="inlineStr">
        <is>
          <t>R056</t>
        </is>
      </c>
      <c r="E41" s="25" t="inlineStr">
        <is>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is>
      </c>
      <c r="F41" s="25" t="inlineStr">
        <is>
          <t>The review raises a possible pilling concern.</t>
        </is>
      </c>
    </row>
    <row r="42" ht="96" customHeight="1" s="36">
      <c r="A42" s="28" t="inlineStr">
        <is>
          <t>Q23</t>
        </is>
      </c>
      <c r="B42" s="28" t="n">
        <v>936</v>
      </c>
      <c r="C42" s="28" t="inlineStr">
        <is>
          <t>Quality</t>
        </is>
      </c>
      <c r="D42" s="28" t="inlineStr">
        <is>
          <t>R057</t>
        </is>
      </c>
      <c r="E42" s="25" t="inlineStr">
        <is>
          <t>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t>
        </is>
      </c>
      <c r="F42" s="25" t="inlineStr">
        <is>
          <t>The review reports buttons sewn on very loosely.</t>
        </is>
      </c>
    </row>
    <row r="43" ht="96" customHeight="1" s="36">
      <c r="A43" s="28" t="inlineStr">
        <is>
          <t>Q24</t>
        </is>
      </c>
      <c r="B43" s="28" t="n">
        <v>1078</v>
      </c>
      <c r="C43" s="28" t="inlineStr">
        <is>
          <t>Fit</t>
        </is>
      </c>
      <c r="D43" s="28" t="inlineStr">
        <is>
          <t>R082</t>
        </is>
      </c>
      <c r="E43" s="25" t="inlineStr">
        <is>
          <t>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t>
        </is>
      </c>
      <c r="F43" s="25" t="inlineStr">
        <is>
          <t>The reviewer says the dress was too short for comfort and had to be returned.</t>
        </is>
      </c>
    </row>
    <row r="44" ht="96" customHeight="1" s="36">
      <c r="A44" s="28" t="inlineStr">
        <is>
          <t>Q24</t>
        </is>
      </c>
      <c r="B44" s="28" t="n">
        <v>1078</v>
      </c>
      <c r="C44" s="28" t="inlineStr">
        <is>
          <t>Fit</t>
        </is>
      </c>
      <c r="D44" s="28" t="inlineStr">
        <is>
          <t>R083</t>
        </is>
      </c>
      <c r="E44" s="25" t="inlineStr">
        <is>
          <t>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t>
        </is>
      </c>
      <c r="F44" s="25" t="inlineStr">
        <is>
          <t>The reviewer describes it as quite short and says it was sent back.</t>
        </is>
      </c>
    </row>
    <row r="45" ht="96" customHeight="1" s="36">
      <c r="A45" s="28" t="inlineStr">
        <is>
          <t>Q24</t>
        </is>
      </c>
      <c r="B45" s="28" t="n">
        <v>1078</v>
      </c>
      <c r="C45" s="28" t="inlineStr">
        <is>
          <t>Fit</t>
        </is>
      </c>
      <c r="D45" s="28" t="inlineStr">
        <is>
          <t>R088</t>
        </is>
      </c>
      <c r="E45" s="25" t="inlineStr">
        <is>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is>
      </c>
      <c r="F45" s="25" t="inlineStr">
        <is>
          <t>The reviewer says the dress was too short and returned both sizes.</t>
        </is>
      </c>
    </row>
    <row r="46" ht="96" customHeight="1" s="36">
      <c r="A46" s="28" t="inlineStr">
        <is>
          <t>Q25</t>
        </is>
      </c>
      <c r="B46" s="28" t="n">
        <v>1078</v>
      </c>
      <c r="C46" s="28" t="inlineStr">
        <is>
          <t>Fit</t>
        </is>
      </c>
      <c r="D46" s="28" t="inlineStr">
        <is>
          <t>R081</t>
        </is>
      </c>
      <c r="E46" s="25" t="inlineStr">
        <is>
          <t>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t>
        </is>
      </c>
      <c r="F46" s="25" t="inlineStr">
        <is>
          <t>The review explicitly says the dress runs true to size.</t>
        </is>
      </c>
    </row>
    <row r="47" ht="96" customHeight="1" s="36">
      <c r="A47" s="28" t="inlineStr">
        <is>
          <t>Q25</t>
        </is>
      </c>
      <c r="B47" s="28" t="n">
        <v>1078</v>
      </c>
      <c r="C47" s="28" t="inlineStr">
        <is>
          <t>Fit</t>
        </is>
      </c>
      <c r="D47" s="28" t="inlineStr">
        <is>
          <t>R084</t>
        </is>
      </c>
      <c r="E47" s="25" t="inlineStr">
        <is>
          <t>Love love this dress. fits so great. i normally wouldn't have picked this dress. more preppy than my normal style. fits amazing. my hubby has complimented me more on this dress than anything else i've ever owned. the fit &amp; flare style is super flattering i felt it fit tts.</t>
        </is>
      </c>
      <c r="F47" s="25" t="inlineStr">
        <is>
          <t>The review explicitly says the dress fits true to size.</t>
        </is>
      </c>
    </row>
    <row r="48" ht="96" customHeight="1" s="36">
      <c r="A48" s="28" t="inlineStr">
        <is>
          <t>Q25</t>
        </is>
      </c>
      <c r="B48" s="28" t="n">
        <v>1078</v>
      </c>
      <c r="C48" s="28" t="inlineStr">
        <is>
          <t>Fit</t>
        </is>
      </c>
      <c r="D48" s="28" t="inlineStr">
        <is>
          <t>R089</t>
        </is>
      </c>
      <c r="E48" s="25" t="inlineStr">
        <is>
          <t>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t>
        </is>
      </c>
      <c r="F48" s="25" t="inlineStr">
        <is>
          <t>The review says the dress runs true to size to a bit large.</t>
        </is>
      </c>
    </row>
    <row r="49" ht="96" customHeight="1" s="36">
      <c r="A49" s="28" t="inlineStr">
        <is>
          <t>Q26</t>
        </is>
      </c>
      <c r="B49" s="28" t="n">
        <v>1078</v>
      </c>
      <c r="C49" s="28" t="inlineStr">
        <is>
          <t>Quality</t>
        </is>
      </c>
      <c r="D49" s="28" t="inlineStr">
        <is>
          <t>R083</t>
        </is>
      </c>
      <c r="E49" s="25" t="inlineStr">
        <is>
          <t>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t>
        </is>
      </c>
      <c r="F49" s="25" t="inlineStr">
        <is>
          <t>The review explicitly describes the fabric as sturdy.</t>
        </is>
      </c>
    </row>
    <row r="50" ht="96" customHeight="1" s="36">
      <c r="A50" s="28" t="inlineStr">
        <is>
          <t>Q26</t>
        </is>
      </c>
      <c r="B50" s="28" t="n">
        <v>1078</v>
      </c>
      <c r="C50" s="28" t="inlineStr">
        <is>
          <t>Quality</t>
        </is>
      </c>
      <c r="D50" s="28" t="inlineStr">
        <is>
          <t>R087</t>
        </is>
      </c>
      <c r="E50" s="25" t="inlineStr">
        <is>
          <t>Based on some reviews i decided to get the regular xs, even tho i am an xs petite (5'2, 107 lb, 32c) i found the fit to be flattering -- fitted enough but not too loose or tight. the length is perfect and work appropriate, and the material has some weight to it. the grey one is colorful and cute. the only problem is the bagginess of the arms -- very unflattering. if i push the sleeves up, it hides the bagginess a little, but i would like to have the option to wear the dress with long sleeves., s</t>
        </is>
      </c>
      <c r="F50" s="25" t="inlineStr">
        <is>
          <t>The review says the material has some weight to it.</t>
        </is>
      </c>
    </row>
    <row r="51" ht="96" customHeight="1" s="36">
      <c r="A51" s="28" t="inlineStr">
        <is>
          <t>Q26</t>
        </is>
      </c>
      <c r="B51" s="28" t="n">
        <v>1078</v>
      </c>
      <c r="C51" s="28" t="inlineStr">
        <is>
          <t>Quality</t>
        </is>
      </c>
      <c r="D51" s="28" t="inlineStr">
        <is>
          <t>R089</t>
        </is>
      </c>
      <c r="E51" s="25" t="inlineStr">
        <is>
          <t>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t>
        </is>
      </c>
      <c r="F51" s="25" t="inlineStr">
        <is>
          <t>The review calls it a quality knit.</t>
        </is>
      </c>
    </row>
    <row r="52" ht="96" customHeight="1" s="36">
      <c r="A52" s="28" t="inlineStr">
        <is>
          <t>Q28</t>
        </is>
      </c>
      <c r="B52" s="28" t="n">
        <v>1094</v>
      </c>
      <c r="C52" s="28" t="inlineStr">
        <is>
          <t>Fit</t>
        </is>
      </c>
      <c r="D52" s="28" t="inlineStr">
        <is>
          <t>R098</t>
        </is>
      </c>
      <c r="E52" s="25" t="inlineStr">
        <is>
          <t>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is>
      </c>
      <c r="F52" s="25" t="inlineStr">
        <is>
          <t>The review explicitly says the dress runs a little large and gives the chosen size.</t>
        </is>
      </c>
    </row>
    <row r="53" ht="96" customHeight="1" s="36">
      <c r="A53" s="28" t="inlineStr">
        <is>
          <t>Q29</t>
        </is>
      </c>
      <c r="B53" s="28" t="n">
        <v>1094</v>
      </c>
      <c r="C53" s="28" t="inlineStr">
        <is>
          <t>Quality</t>
        </is>
      </c>
      <c r="D53" s="28" t="inlineStr">
        <is>
          <t>R094</t>
        </is>
      </c>
      <c r="E53" s="25" t="inlineStr">
        <is>
          <t>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t>
        </is>
      </c>
      <c r="F53" s="25" t="inlineStr">
        <is>
          <t>The reviewer says the fabric feels a little cheaper, while noting that it does not look cheap.</t>
        </is>
      </c>
    </row>
    <row r="54" ht="96" customHeight="1" s="36">
      <c r="A54" s="28" t="inlineStr">
        <is>
          <t>Q29</t>
        </is>
      </c>
      <c r="B54" s="28" t="n">
        <v>1094</v>
      </c>
      <c r="C54" s="28" t="inlineStr">
        <is>
          <t>Quality</t>
        </is>
      </c>
      <c r="D54" s="28" t="inlineStr">
        <is>
          <t>R097</t>
        </is>
      </c>
      <c r="E54" s="25" t="inlineStr">
        <is>
          <t>Very cheap looking material. looks cheap to cost $158.</t>
        </is>
      </c>
      <c r="F54" s="25" t="inlineStr">
        <is>
          <t>The reviewer explicitly calls the material very cheap-looking.</t>
        </is>
      </c>
    </row>
    <row r="55" ht="96" customHeight="1" s="36">
      <c r="A55" s="28" t="inlineStr">
        <is>
          <t>Q29</t>
        </is>
      </c>
      <c r="B55" s="28" t="n">
        <v>1094</v>
      </c>
      <c r="C55" s="28" t="inlineStr">
        <is>
          <t>Quality</t>
        </is>
      </c>
      <c r="D55" s="28" t="inlineStr">
        <is>
          <t>R100</t>
        </is>
      </c>
      <c r="E55" s="25" t="inlineStr">
        <is>
          <t>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t>
        </is>
      </c>
      <c r="F55" s="25" t="inlineStr">
        <is>
          <t>The reviewer describes the built-in slip as flimsy.</t>
        </is>
      </c>
    </row>
    <row r="56">
      <c r="A56" s="1" t="n"/>
      <c r="B56" s="1" t="n"/>
      <c r="C56" s="1" t="n"/>
      <c r="D56" s="1" t="n"/>
      <c r="E56" s="1" t="n"/>
      <c r="F56" s="1" t="n"/>
    </row>
    <row r="57">
      <c r="A57" s="1" t="n"/>
      <c r="B57" s="1" t="n"/>
      <c r="C57" s="1" t="n"/>
      <c r="D57" s="1" t="n"/>
      <c r="E57" s="1" t="n"/>
      <c r="F57" s="1" t="n"/>
    </row>
    <row r="58">
      <c r="A58" s="1" t="n"/>
      <c r="B58" s="1" t="n"/>
      <c r="C58" s="1" t="n"/>
      <c r="D58" s="1" t="n"/>
      <c r="E58" s="1" t="n"/>
      <c r="F58" s="1" t="n"/>
    </row>
    <row r="59">
      <c r="A59" s="1" t="n"/>
      <c r="B59" s="1" t="n"/>
      <c r="C59" s="1" t="n"/>
      <c r="D59" s="1" t="n"/>
      <c r="E59" s="1" t="n"/>
      <c r="F59" s="1" t="n"/>
    </row>
    <row r="60">
      <c r="A60" s="1" t="n"/>
      <c r="B60" s="1" t="n"/>
      <c r="C60" s="1" t="n"/>
      <c r="D60" s="1" t="n"/>
      <c r="E60" s="1" t="n"/>
      <c r="F60" s="1" t="n"/>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1"/>
  <sheetViews>
    <sheetView showGridLines="0" workbookViewId="0">
      <pane xSplit="4" ySplit="1" topLeftCell="E2" activePane="bottomRight" state="frozen"/>
      <selection activeCell="A1" sqref="A1"/>
    </sheetView>
  </sheetViews>
  <sheetFormatPr baseColWidth="8" defaultRowHeight="15"/>
  <cols>
    <col width="16" customWidth="1" style="36" min="1" max="1"/>
    <col width="15" customWidth="1" style="36" min="2" max="2"/>
    <col width="12" customWidth="1" style="36" min="3" max="3"/>
    <col width="18" customWidth="1" style="36" min="4" max="4"/>
    <col width="30" customWidth="1" style="36" min="5" max="5"/>
    <col width="88" customWidth="1" style="36" min="6" max="6"/>
    <col width="9" customWidth="1" style="36" min="7" max="7"/>
    <col width="17" customWidth="1" style="36" min="8" max="8"/>
    <col width="22" customWidth="1" style="36" min="9" max="9"/>
    <col width="18" customWidth="1" style="36" min="10" max="10"/>
    <col width="18" customWidth="1" style="36" min="11" max="11"/>
    <col width="16" customWidth="1" style="36" min="12" max="12"/>
    <col width="18" customWidth="1" style="36" min="13" max="13"/>
    <col width="17" customWidth="1" style="36" min="14" max="14"/>
    <col width="19" customWidth="1" style="36" min="15" max="15"/>
  </cols>
  <sheetData>
    <row r="1" ht="34" customHeight="1" s="36">
      <c r="A1" s="44" t="inlineStr">
        <is>
          <t>Corpus_Review_ID</t>
        </is>
      </c>
      <c r="B1" s="44" t="inlineStr">
        <is>
          <t>Source_Review_ID</t>
        </is>
      </c>
      <c r="C1" s="44" t="inlineStr">
        <is>
          <t>Clothing_ID</t>
        </is>
      </c>
      <c r="D1" s="44" t="inlineStr">
        <is>
          <t>Question_Set_Use</t>
        </is>
      </c>
      <c r="E1" s="44" t="inlineStr">
        <is>
          <t>Title_Clean</t>
        </is>
      </c>
      <c r="F1" s="44" t="inlineStr">
        <is>
          <t>Review_Text_Clean</t>
        </is>
      </c>
      <c r="G1" s="44" t="inlineStr">
        <is>
          <t>Rating</t>
        </is>
      </c>
      <c r="H1" s="44" t="inlineStr">
        <is>
          <t>Recommended_IND</t>
        </is>
      </c>
      <c r="I1" s="44" t="inlineStr">
        <is>
          <t>Positive_Feedback_Count</t>
        </is>
      </c>
      <c r="J1" s="44" t="inlineStr">
        <is>
          <t>Division_Name</t>
        </is>
      </c>
      <c r="K1" s="44" t="inlineStr">
        <is>
          <t>Department_Name</t>
        </is>
      </c>
      <c r="L1" s="44" t="inlineStr">
        <is>
          <t>Class_Name</t>
        </is>
      </c>
      <c r="M1" s="44" t="inlineStr">
        <is>
          <t>Text_Length_Chars</t>
        </is>
      </c>
      <c r="N1" s="44" t="inlineStr">
        <is>
          <t>Fit_Keyword_Flag</t>
        </is>
      </c>
      <c r="O1" s="44" t="inlineStr">
        <is>
          <t>Quality_Keyword_Flag</t>
        </is>
      </c>
      <c r="Q1" s="50" t="inlineStr">
        <is>
          <t>Source: user-supplied Clothing_Review_Preprocessed_100.xlsx</t>
        </is>
      </c>
    </row>
    <row r="2" ht="64" customHeight="1" s="36">
      <c r="A2" s="49" t="inlineStr">
        <is>
          <t>R001</t>
        </is>
      </c>
      <c r="B2" s="49" t="n">
        <v>107</v>
      </c>
      <c r="C2" s="49" t="n">
        <v>836</v>
      </c>
      <c r="D2" s="49" t="inlineStr">
        <is>
          <t>Final_Evaluation</t>
        </is>
      </c>
      <c r="E2" s="47" t="inlineStr">
        <is>
          <t>Beautiful</t>
        </is>
      </c>
      <c r="F2" s="47" t="inlineStr">
        <is>
          <t>I ordered ivory in xl because this brand tends to run tight if you're well endowed. it's a beautiful color and i love the contrasting plaid lining the inside of the collar and cuffs. haven't decided about keeping it because it looks oversized (but cozy) and it's really long. it almost touches the top of my knees in back. sooooo pretty though.</t>
        </is>
      </c>
      <c r="G2" s="49" t="n">
        <v>4</v>
      </c>
      <c r="H2" s="49" t="n">
        <v>1</v>
      </c>
      <c r="I2" s="49" t="n">
        <v>0</v>
      </c>
      <c r="J2" s="49" t="inlineStr">
        <is>
          <t>General</t>
        </is>
      </c>
      <c r="K2" s="49" t="inlineStr">
        <is>
          <t>Tops</t>
        </is>
      </c>
      <c r="L2" s="49" t="inlineStr">
        <is>
          <t>Blouses</t>
        </is>
      </c>
      <c r="M2" s="49" t="n">
        <v>344</v>
      </c>
      <c r="N2" s="49" t="b">
        <v>1</v>
      </c>
      <c r="O2" s="49" t="b">
        <v>1</v>
      </c>
    </row>
    <row r="3" ht="64" customHeight="1" s="36">
      <c r="A3" s="49" t="inlineStr">
        <is>
          <t>R002</t>
        </is>
      </c>
      <c r="B3" s="49" t="n">
        <v>112</v>
      </c>
      <c r="C3" s="49" t="n">
        <v>836</v>
      </c>
      <c r="D3" s="49" t="inlineStr">
        <is>
          <t>Final_Evaluation</t>
        </is>
      </c>
      <c r="E3" s="47" t="inlineStr">
        <is>
          <t>Beautiful, stunning, cozy top!</t>
        </is>
      </c>
      <c r="F3" s="47" t="inlineStr">
        <is>
          <t>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t>
        </is>
      </c>
      <c r="G3" s="49" t="n">
        <v>5</v>
      </c>
      <c r="H3" s="49" t="n">
        <v>1</v>
      </c>
      <c r="I3" s="49" t="n">
        <v>24</v>
      </c>
      <c r="J3" s="49" t="inlineStr">
        <is>
          <t>General</t>
        </is>
      </c>
      <c r="K3" s="49" t="inlineStr">
        <is>
          <t>Tops</t>
        </is>
      </c>
      <c r="L3" s="49" t="inlineStr">
        <is>
          <t>Blouses</t>
        </is>
      </c>
      <c r="M3" s="49" t="n">
        <v>424</v>
      </c>
      <c r="N3" s="49" t="b">
        <v>1</v>
      </c>
      <c r="O3" s="49" t="b">
        <v>1</v>
      </c>
    </row>
    <row r="4" ht="64" customHeight="1" s="36">
      <c r="A4" s="49" t="inlineStr">
        <is>
          <t>R003</t>
        </is>
      </c>
      <c r="B4" s="49" t="n">
        <v>119</v>
      </c>
      <c r="C4" s="49" t="n">
        <v>836</v>
      </c>
      <c r="D4" s="49" t="inlineStr">
        <is>
          <t>Final_Evaluation</t>
        </is>
      </c>
      <c r="E4" s="47" t="inlineStr">
        <is>
          <t>Cozy casual - perfect for fall</t>
        </is>
      </c>
      <c r="F4" s="47" t="inlineStr">
        <is>
          <t>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t>
        </is>
      </c>
      <c r="G4" s="49" t="n">
        <v>5</v>
      </c>
      <c r="H4" s="49" t="n">
        <v>1</v>
      </c>
      <c r="I4" s="49" t="n">
        <v>4</v>
      </c>
      <c r="J4" s="49" t="inlineStr">
        <is>
          <t>General</t>
        </is>
      </c>
      <c r="K4" s="49" t="inlineStr">
        <is>
          <t>Tops</t>
        </is>
      </c>
      <c r="L4" s="49" t="inlineStr">
        <is>
          <t>Blouses</t>
        </is>
      </c>
      <c r="M4" s="49" t="n">
        <v>345</v>
      </c>
      <c r="N4" s="49" t="b">
        <v>1</v>
      </c>
      <c r="O4" s="49" t="b">
        <v>1</v>
      </c>
    </row>
    <row r="5" ht="64" customHeight="1" s="36">
      <c r="A5" s="49" t="inlineStr">
        <is>
          <t>R004</t>
        </is>
      </c>
      <c r="B5" s="49" t="n">
        <v>313</v>
      </c>
      <c r="C5" s="49" t="n">
        <v>836</v>
      </c>
      <c r="D5" s="49" t="inlineStr">
        <is>
          <t>Final_Evaluation</t>
        </is>
      </c>
      <c r="E5" s="47" t="inlineStr">
        <is>
          <t>Adorable</t>
        </is>
      </c>
      <c r="F5" s="47" t="inlineStr">
        <is>
          <t>I purchased the floral patterned version and get complimented every time i wear it. i found it to be pretty true to size, even after washing. it's a little sheer, so you'd definitely want to wear a camisole underneath for work. it's a great top for spring/summer!</t>
        </is>
      </c>
      <c r="G5" s="49" t="n">
        <v>4</v>
      </c>
      <c r="H5" s="49" t="n">
        <v>1</v>
      </c>
      <c r="I5" s="49" t="n">
        <v>4</v>
      </c>
      <c r="J5" s="49" t="inlineStr">
        <is>
          <t>General</t>
        </is>
      </c>
      <c r="K5" s="49" t="inlineStr">
        <is>
          <t>Tops</t>
        </is>
      </c>
      <c r="L5" s="49" t="inlineStr">
        <is>
          <t>Blouses</t>
        </is>
      </c>
      <c r="M5" s="49" t="n">
        <v>263</v>
      </c>
      <c r="N5" s="49" t="b">
        <v>1</v>
      </c>
      <c r="O5" s="49" t="b">
        <v>0</v>
      </c>
    </row>
    <row r="6" ht="64" customHeight="1" s="36">
      <c r="A6" s="49" t="inlineStr">
        <is>
          <t>R005</t>
        </is>
      </c>
      <c r="B6" s="49" t="n">
        <v>315</v>
      </c>
      <c r="C6" s="49" t="n">
        <v>836</v>
      </c>
      <c r="D6" s="49" t="inlineStr">
        <is>
          <t>Final_Evaluation</t>
        </is>
      </c>
      <c r="E6" s="47" t="inlineStr">
        <is>
          <t>Beautiful top!</t>
        </is>
      </c>
      <c r="F6" s="47" t="inlineStr">
        <is>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is>
      </c>
      <c r="G6" s="49" t="n">
        <v>5</v>
      </c>
      <c r="H6" s="49" t="n">
        <v>1</v>
      </c>
      <c r="I6" s="49" t="n">
        <v>8</v>
      </c>
      <c r="J6" s="49" t="inlineStr">
        <is>
          <t>General</t>
        </is>
      </c>
      <c r="K6" s="49" t="inlineStr">
        <is>
          <t>Tops</t>
        </is>
      </c>
      <c r="L6" s="49" t="inlineStr">
        <is>
          <t>Blouses</t>
        </is>
      </c>
      <c r="M6" s="49" t="n">
        <v>417</v>
      </c>
      <c r="N6" s="49" t="b">
        <v>1</v>
      </c>
      <c r="O6" s="49" t="b">
        <v>1</v>
      </c>
    </row>
    <row r="7" ht="64" customHeight="1" s="36">
      <c r="A7" s="49" t="inlineStr">
        <is>
          <t>R006</t>
        </is>
      </c>
      <c r="B7" s="49" t="n">
        <v>320</v>
      </c>
      <c r="C7" s="49" t="n">
        <v>836</v>
      </c>
      <c r="D7" s="49" t="inlineStr">
        <is>
          <t>Final_Evaluation</t>
        </is>
      </c>
      <c r="E7" s="47" t="n"/>
      <c r="F7" s="47" t="inlineStr">
        <is>
          <t>I find that maeve shirts tend to run a little small. i'm usually an 8 but needed this in a 10. this shirt is reallly just perfect. great sleeve length. just the right amount of v neck. beautiful pattern with a vintage feel. i love the combo of stripes, polka dots and sweet flowers.</t>
        </is>
      </c>
      <c r="G7" s="49" t="n">
        <v>5</v>
      </c>
      <c r="H7" s="49" t="n">
        <v>1</v>
      </c>
      <c r="I7" s="49" t="n">
        <v>23</v>
      </c>
      <c r="J7" s="49" t="inlineStr">
        <is>
          <t>General</t>
        </is>
      </c>
      <c r="K7" s="49" t="inlineStr">
        <is>
          <t>Tops</t>
        </is>
      </c>
      <c r="L7" s="49" t="inlineStr">
        <is>
          <t>Blouses</t>
        </is>
      </c>
      <c r="M7" s="49" t="n">
        <v>282</v>
      </c>
      <c r="N7" s="49" t="b">
        <v>1</v>
      </c>
      <c r="O7" s="49" t="b">
        <v>0</v>
      </c>
    </row>
    <row r="8" ht="64" customHeight="1" s="36">
      <c r="A8" s="49" t="inlineStr">
        <is>
          <t>R007</t>
        </is>
      </c>
      <c r="B8" s="49" t="n">
        <v>326</v>
      </c>
      <c r="C8" s="49" t="n">
        <v>836</v>
      </c>
      <c r="D8" s="49" t="inlineStr">
        <is>
          <t>Final_Evaluation</t>
        </is>
      </c>
      <c r="E8" s="47" t="inlineStr">
        <is>
          <t>Better in person</t>
        </is>
      </c>
      <c r="F8" s="47" t="inlineStr">
        <is>
          <t>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t>
        </is>
      </c>
      <c r="G8" s="49" t="n">
        <v>5</v>
      </c>
      <c r="H8" s="49" t="n">
        <v>1</v>
      </c>
      <c r="I8" s="49" t="n">
        <v>1</v>
      </c>
      <c r="J8" s="49" t="inlineStr">
        <is>
          <t>General</t>
        </is>
      </c>
      <c r="K8" s="49" t="inlineStr">
        <is>
          <t>Tops</t>
        </is>
      </c>
      <c r="L8" s="49" t="inlineStr">
        <is>
          <t>Blouses</t>
        </is>
      </c>
      <c r="M8" s="49" t="n">
        <v>500</v>
      </c>
      <c r="N8" s="49" t="b">
        <v>1</v>
      </c>
      <c r="O8" s="49" t="b">
        <v>1</v>
      </c>
    </row>
    <row r="9" ht="64" customHeight="1" s="36">
      <c r="A9" s="49" t="inlineStr">
        <is>
          <t>R008</t>
        </is>
      </c>
      <c r="B9" s="49" t="n">
        <v>329</v>
      </c>
      <c r="C9" s="49" t="n">
        <v>836</v>
      </c>
      <c r="D9" s="49" t="inlineStr">
        <is>
          <t>Final_Evaluation</t>
        </is>
      </c>
      <c r="E9" s="47" t="inlineStr">
        <is>
          <t>Airy and flattering</t>
        </is>
      </c>
      <c r="F9" s="47" t="inlineStr">
        <is>
          <t>The blue motif is a gorgeous indigo with an interesting pattern. a short tunic that drapes nicely and is flattering. very happy with this purchase. i plan to buy a 2nd for my mom to keep her cool and stylish.</t>
        </is>
      </c>
      <c r="G9" s="49" t="n">
        <v>5</v>
      </c>
      <c r="H9" s="49" t="n">
        <v>1</v>
      </c>
      <c r="I9" s="49" t="n">
        <v>0</v>
      </c>
      <c r="J9" s="49" t="inlineStr">
        <is>
          <t>General</t>
        </is>
      </c>
      <c r="K9" s="49" t="inlineStr">
        <is>
          <t>Tops</t>
        </is>
      </c>
      <c r="L9" s="49" t="inlineStr">
        <is>
          <t>Blouses</t>
        </is>
      </c>
      <c r="M9" s="49" t="n">
        <v>208</v>
      </c>
      <c r="N9" s="49" t="b">
        <v>1</v>
      </c>
      <c r="O9" s="49" t="b">
        <v>0</v>
      </c>
    </row>
    <row r="10" ht="64" customHeight="1" s="36">
      <c r="A10" s="49" t="inlineStr">
        <is>
          <t>R009</t>
        </is>
      </c>
      <c r="B10" s="49" t="n">
        <v>370</v>
      </c>
      <c r="C10" s="49" t="n">
        <v>836</v>
      </c>
      <c r="D10" s="49" t="inlineStr">
        <is>
          <t>Final_Evaluation</t>
        </is>
      </c>
      <c r="E10" s="47" t="n"/>
      <c r="F10" s="47" t="inlineStr">
        <is>
          <t>I love this top. i got it on sale and am so glad that i did. it is a short too but still super flattering. it isn't too boxy on me.</t>
        </is>
      </c>
      <c r="G10" s="49" t="n">
        <v>5</v>
      </c>
      <c r="H10" s="49" t="n">
        <v>1</v>
      </c>
      <c r="I10" s="49" t="n">
        <v>0</v>
      </c>
      <c r="J10" s="49" t="inlineStr">
        <is>
          <t>General</t>
        </is>
      </c>
      <c r="K10" s="49" t="inlineStr">
        <is>
          <t>Tops</t>
        </is>
      </c>
      <c r="L10" s="49" t="inlineStr">
        <is>
          <t>Blouses</t>
        </is>
      </c>
      <c r="M10" s="49" t="n">
        <v>131</v>
      </c>
      <c r="N10" s="49" t="b">
        <v>1</v>
      </c>
      <c r="O10" s="49" t="b">
        <v>0</v>
      </c>
    </row>
    <row r="11" ht="64" customHeight="1" s="36">
      <c r="A11" s="49" t="inlineStr">
        <is>
          <t>R010</t>
        </is>
      </c>
      <c r="B11" s="49" t="n">
        <v>374</v>
      </c>
      <c r="C11" s="49" t="n">
        <v>836</v>
      </c>
      <c r="D11" s="49" t="inlineStr">
        <is>
          <t>Final_Evaluation</t>
        </is>
      </c>
      <c r="E11" s="47" t="inlineStr">
        <is>
          <t>Subdued sexy</t>
        </is>
      </c>
      <c r="F11" s="47" t="inlineStr">
        <is>
          <t>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t>
        </is>
      </c>
      <c r="G11" s="49" t="n">
        <v>5</v>
      </c>
      <c r="H11" s="49" t="n">
        <v>1</v>
      </c>
      <c r="I11" s="49" t="n">
        <v>6</v>
      </c>
      <c r="J11" s="49" t="inlineStr">
        <is>
          <t>General</t>
        </is>
      </c>
      <c r="K11" s="49" t="inlineStr">
        <is>
          <t>Tops</t>
        </is>
      </c>
      <c r="L11" s="49" t="inlineStr">
        <is>
          <t>Blouses</t>
        </is>
      </c>
      <c r="M11" s="49" t="n">
        <v>500</v>
      </c>
      <c r="N11" s="49" t="b">
        <v>1</v>
      </c>
      <c r="O11" s="49" t="b">
        <v>1</v>
      </c>
    </row>
    <row r="12" ht="64" customHeight="1" s="36">
      <c r="A12" s="49" t="inlineStr">
        <is>
          <t>R011</t>
        </is>
      </c>
      <c r="B12" s="49" t="n">
        <v>86</v>
      </c>
      <c r="C12" s="49" t="n">
        <v>850</v>
      </c>
      <c r="D12" s="49" t="inlineStr">
        <is>
          <t>Final_Evaluation</t>
        </is>
      </c>
      <c r="E12" s="47" t="inlineStr">
        <is>
          <t>Neutral blue</t>
        </is>
      </c>
      <c r="F12" s="47" t="inlineStr">
        <is>
          <t>I tried this on from the sale section, and they only had a 2 (i usually do 0), and surprisingly, that size was the right fit. it is fitted, with just enough room to eat :-) te blue is a light blue, almost neutral, with the white embroidery, i think it looked stylish, and decided to keep it. the peplum part hit just in the right spot, i am short (petite) but my torso is normal size...</t>
        </is>
      </c>
      <c r="G12" s="49" t="n">
        <v>4</v>
      </c>
      <c r="H12" s="49" t="n">
        <v>1</v>
      </c>
      <c r="I12" s="49" t="n">
        <v>0</v>
      </c>
      <c r="J12" s="49" t="inlineStr">
        <is>
          <t>General Petite</t>
        </is>
      </c>
      <c r="K12" s="49" t="inlineStr">
        <is>
          <t>Tops</t>
        </is>
      </c>
      <c r="L12" s="49" t="inlineStr">
        <is>
          <t>Blouses</t>
        </is>
      </c>
      <c r="M12" s="49" t="n">
        <v>386</v>
      </c>
      <c r="N12" s="49" t="b">
        <v>1</v>
      </c>
      <c r="O12" s="49" t="b">
        <v>0</v>
      </c>
    </row>
    <row r="13" ht="64" customHeight="1" s="36">
      <c r="A13" s="49" t="inlineStr">
        <is>
          <t>R012</t>
        </is>
      </c>
      <c r="B13" s="49" t="n">
        <v>94</v>
      </c>
      <c r="C13" s="49" t="n">
        <v>850</v>
      </c>
      <c r="D13" s="49" t="inlineStr">
        <is>
          <t>Final_Evaluation</t>
        </is>
      </c>
      <c r="E13" s="47" t="inlineStr">
        <is>
          <t>Beautifully made, but not versatile</t>
        </is>
      </c>
      <c r="F13" s="47" t="inlineStr">
        <is>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is>
      </c>
      <c r="G13" s="49" t="n">
        <v>4</v>
      </c>
      <c r="H13" s="49" t="n">
        <v>1</v>
      </c>
      <c r="I13" s="49" t="n">
        <v>3</v>
      </c>
      <c r="J13" s="49" t="inlineStr">
        <is>
          <t>General Petite</t>
        </is>
      </c>
      <c r="K13" s="49" t="inlineStr">
        <is>
          <t>Tops</t>
        </is>
      </c>
      <c r="L13" s="49" t="inlineStr">
        <is>
          <t>Blouses</t>
        </is>
      </c>
      <c r="M13" s="49" t="n">
        <v>499</v>
      </c>
      <c r="N13" s="49" t="b">
        <v>0</v>
      </c>
      <c r="O13" s="49" t="b">
        <v>1</v>
      </c>
    </row>
    <row r="14" ht="64" customHeight="1" s="36">
      <c r="A14" s="49" t="inlineStr">
        <is>
          <t>R013</t>
        </is>
      </c>
      <c r="B14" s="49" t="n">
        <v>498</v>
      </c>
      <c r="C14" s="49" t="n">
        <v>850</v>
      </c>
      <c r="D14" s="49" t="inlineStr">
        <is>
          <t>Final_Evaluation</t>
        </is>
      </c>
      <c r="E14" s="47" t="inlineStr">
        <is>
          <t>Boxy</t>
        </is>
      </c>
      <c r="F14" s="47" t="inlineStr">
        <is>
          <t>Cropped and wide- would look cuter on someone who is more petite. was too wide and cropped for me. very sheer.</t>
        </is>
      </c>
      <c r="G14" s="49" t="n">
        <v>3</v>
      </c>
      <c r="H14" s="49" t="n">
        <v>0</v>
      </c>
      <c r="I14" s="49" t="n">
        <v>0</v>
      </c>
      <c r="J14" s="49" t="inlineStr">
        <is>
          <t>General Petite</t>
        </is>
      </c>
      <c r="K14" s="49" t="inlineStr">
        <is>
          <t>Tops</t>
        </is>
      </c>
      <c r="L14" s="49" t="inlineStr">
        <is>
          <t>Blouses</t>
        </is>
      </c>
      <c r="M14" s="49" t="n">
        <v>110</v>
      </c>
      <c r="N14" s="49" t="b">
        <v>1</v>
      </c>
      <c r="O14" s="49" t="b">
        <v>0</v>
      </c>
    </row>
    <row r="15" ht="64" customHeight="1" s="36">
      <c r="A15" s="49" t="inlineStr">
        <is>
          <t>R014</t>
        </is>
      </c>
      <c r="B15" s="49" t="n">
        <v>504</v>
      </c>
      <c r="C15" s="49" t="n">
        <v>850</v>
      </c>
      <c r="D15" s="49" t="inlineStr">
        <is>
          <t>Final_Evaluation</t>
        </is>
      </c>
      <c r="E15" s="47" t="inlineStr">
        <is>
          <t>Feminine, flattering, versatile</t>
        </is>
      </c>
      <c r="F15" s="47" t="inlineStr">
        <is>
          <t>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is>
      </c>
      <c r="G15" s="49" t="n">
        <v>5</v>
      </c>
      <c r="H15" s="49" t="n">
        <v>1</v>
      </c>
      <c r="I15" s="49" t="n">
        <v>0</v>
      </c>
      <c r="J15" s="49" t="inlineStr">
        <is>
          <t>General Petite</t>
        </is>
      </c>
      <c r="K15" s="49" t="inlineStr">
        <is>
          <t>Tops</t>
        </is>
      </c>
      <c r="L15" s="49" t="inlineStr">
        <is>
          <t>Blouses</t>
        </is>
      </c>
      <c r="M15" s="49" t="n">
        <v>500</v>
      </c>
      <c r="N15" s="49" t="b">
        <v>1</v>
      </c>
      <c r="O15" s="49" t="b">
        <v>0</v>
      </c>
    </row>
    <row r="16" ht="64" customHeight="1" s="36">
      <c r="A16" s="49" t="inlineStr">
        <is>
          <t>R015</t>
        </is>
      </c>
      <c r="B16" s="49" t="n">
        <v>513</v>
      </c>
      <c r="C16" s="49" t="n">
        <v>850</v>
      </c>
      <c r="D16" s="49" t="inlineStr">
        <is>
          <t>Final_Evaluation</t>
        </is>
      </c>
      <c r="E16" s="47" t="inlineStr">
        <is>
          <t>Manette clipdot blouse</t>
        </is>
      </c>
      <c r="F16" s="47" t="inlineStr">
        <is>
          <t>I love the style of this top. i just wish there were a slimmer version of it. unfortunately, this top doesn't suit my long, slim midsection. it is so wide, it completely hides the waist. i think it would look adorable on a different body type.</t>
        </is>
      </c>
      <c r="G16" s="49" t="n">
        <v>3</v>
      </c>
      <c r="H16" s="49" t="n">
        <v>1</v>
      </c>
      <c r="I16" s="49" t="n">
        <v>7</v>
      </c>
      <c r="J16" s="49" t="inlineStr">
        <is>
          <t>General Petite</t>
        </is>
      </c>
      <c r="K16" s="49" t="inlineStr">
        <is>
          <t>Tops</t>
        </is>
      </c>
      <c r="L16" s="49" t="inlineStr">
        <is>
          <t>Blouses</t>
        </is>
      </c>
      <c r="M16" s="49" t="n">
        <v>243</v>
      </c>
      <c r="N16" s="49" t="b">
        <v>1</v>
      </c>
      <c r="O16" s="49" t="b">
        <v>0</v>
      </c>
    </row>
    <row r="17" ht="64" customHeight="1" s="36">
      <c r="A17" s="49" t="inlineStr">
        <is>
          <t>R016</t>
        </is>
      </c>
      <c r="B17" s="49" t="n">
        <v>538</v>
      </c>
      <c r="C17" s="49" t="n">
        <v>850</v>
      </c>
      <c r="D17" s="49" t="inlineStr">
        <is>
          <t>Final_Evaluation</t>
        </is>
      </c>
      <c r="E17" s="47" t="inlineStr">
        <is>
          <t>Great top</t>
        </is>
      </c>
      <c r="F17" s="47" t="inlineStr">
        <is>
          <t>This top is great for spring- it's super light and can be dressed up or down depending on what you're wearing it for. fits true to size and is great quality.</t>
        </is>
      </c>
      <c r="G17" s="49" t="n">
        <v>4</v>
      </c>
      <c r="H17" s="49" t="n">
        <v>1</v>
      </c>
      <c r="I17" s="49" t="n">
        <v>0</v>
      </c>
      <c r="J17" s="49" t="inlineStr">
        <is>
          <t>General</t>
        </is>
      </c>
      <c r="K17" s="49" t="inlineStr">
        <is>
          <t>Tops</t>
        </is>
      </c>
      <c r="L17" s="49" t="inlineStr">
        <is>
          <t>Blouses</t>
        </is>
      </c>
      <c r="M17" s="49" t="n">
        <v>157</v>
      </c>
      <c r="N17" s="49" t="b">
        <v>1</v>
      </c>
      <c r="O17" s="49" t="b">
        <v>1</v>
      </c>
    </row>
    <row r="18" ht="64" customHeight="1" s="36">
      <c r="A18" s="49" t="inlineStr">
        <is>
          <t>R017</t>
        </is>
      </c>
      <c r="B18" s="49" t="n">
        <v>549</v>
      </c>
      <c r="C18" s="49" t="n">
        <v>850</v>
      </c>
      <c r="D18" s="49" t="inlineStr">
        <is>
          <t>Final_Evaluation</t>
        </is>
      </c>
      <c r="E18" s="47" t="inlineStr">
        <is>
          <t>Feminine and pretty</t>
        </is>
      </c>
      <c r="F18" s="47" t="inlineStr">
        <is>
          <t>This top is gorgeous and versatile. i wear it with jeans and dress it up with a skirt. so happy to have this in my wardrobe.</t>
        </is>
      </c>
      <c r="G18" s="49" t="n">
        <v>5</v>
      </c>
      <c r="H18" s="49" t="n">
        <v>1</v>
      </c>
      <c r="I18" s="49" t="n">
        <v>0</v>
      </c>
      <c r="J18" s="49" t="inlineStr">
        <is>
          <t>General</t>
        </is>
      </c>
      <c r="K18" s="49" t="inlineStr">
        <is>
          <t>Tops</t>
        </is>
      </c>
      <c r="L18" s="49" t="inlineStr">
        <is>
          <t>Blouses</t>
        </is>
      </c>
      <c r="M18" s="49" t="n">
        <v>124</v>
      </c>
      <c r="N18" s="49" t="b">
        <v>0</v>
      </c>
      <c r="O18" s="49" t="b">
        <v>0</v>
      </c>
    </row>
    <row r="19" ht="64" customHeight="1" s="36">
      <c r="A19" s="49" t="inlineStr">
        <is>
          <t>R018</t>
        </is>
      </c>
      <c r="B19" s="49" t="n">
        <v>784</v>
      </c>
      <c r="C19" s="49" t="n">
        <v>850</v>
      </c>
      <c r="D19" s="49" t="inlineStr">
        <is>
          <t>Final_Evaluation</t>
        </is>
      </c>
      <c r="E19" s="47" t="inlineStr">
        <is>
          <t>Good basic - but sheer</t>
        </is>
      </c>
      <c r="F19" s="47" t="inlineStr">
        <is>
          <t>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is>
      </c>
      <c r="G19" s="49" t="n">
        <v>4</v>
      </c>
      <c r="H19" s="49" t="n">
        <v>1</v>
      </c>
      <c r="I19" s="49" t="n">
        <v>0</v>
      </c>
      <c r="J19" s="49" t="inlineStr">
        <is>
          <t>General</t>
        </is>
      </c>
      <c r="K19" s="49" t="inlineStr">
        <is>
          <t>Tops</t>
        </is>
      </c>
      <c r="L19" s="49" t="inlineStr">
        <is>
          <t>Blouses</t>
        </is>
      </c>
      <c r="M19" s="49" t="n">
        <v>344</v>
      </c>
      <c r="N19" s="49" t="b">
        <v>1</v>
      </c>
      <c r="O19" s="49" t="b">
        <v>1</v>
      </c>
    </row>
    <row r="20" ht="64" customHeight="1" s="36">
      <c r="A20" s="49" t="inlineStr">
        <is>
          <t>R019</t>
        </is>
      </c>
      <c r="B20" s="49" t="n">
        <v>788</v>
      </c>
      <c r="C20" s="49" t="n">
        <v>850</v>
      </c>
      <c r="D20" s="49" t="inlineStr">
        <is>
          <t>Final_Evaluation</t>
        </is>
      </c>
      <c r="E20" s="47" t="inlineStr">
        <is>
          <t>Happyinpdx</t>
        </is>
      </c>
      <c r="F20" s="47" t="inlineStr">
        <is>
          <t>Has quickly become one of my 'go to' tops. comfortable, cute, looks just like the picture.</t>
        </is>
      </c>
      <c r="G20" s="49" t="n">
        <v>5</v>
      </c>
      <c r="H20" s="49" t="n">
        <v>1</v>
      </c>
      <c r="I20" s="49" t="n">
        <v>1</v>
      </c>
      <c r="J20" s="49" t="inlineStr">
        <is>
          <t>General</t>
        </is>
      </c>
      <c r="K20" s="49" t="inlineStr">
        <is>
          <t>Tops</t>
        </is>
      </c>
      <c r="L20" s="49" t="inlineStr">
        <is>
          <t>Blouses</t>
        </is>
      </c>
      <c r="M20" s="49" t="n">
        <v>90</v>
      </c>
      <c r="N20" s="49" t="b">
        <v>0</v>
      </c>
      <c r="O20" s="49" t="b">
        <v>1</v>
      </c>
    </row>
    <row r="21" ht="64" customHeight="1" s="36">
      <c r="A21" s="49" t="inlineStr">
        <is>
          <t>R020</t>
        </is>
      </c>
      <c r="B21" s="49" t="n">
        <v>789</v>
      </c>
      <c r="C21" s="49" t="n">
        <v>850</v>
      </c>
      <c r="D21" s="49" t="inlineStr">
        <is>
          <t>Final_Evaluation</t>
        </is>
      </c>
      <c r="E21" s="47" t="inlineStr">
        <is>
          <t>Great shirt</t>
        </is>
      </c>
      <c r="F21" s="47" t="inlineStr">
        <is>
          <t>It is the perfect top to wear in the summer, it is nice and you can be somewhat dressy or super casual. i don't like anything too tight around my stomach and this has a nice flow with just the right amount of material.</t>
        </is>
      </c>
      <c r="G21" s="49" t="n">
        <v>4</v>
      </c>
      <c r="H21" s="49" t="n">
        <v>1</v>
      </c>
      <c r="I21" s="49" t="n">
        <v>0</v>
      </c>
      <c r="J21" s="49" t="inlineStr">
        <is>
          <t>General</t>
        </is>
      </c>
      <c r="K21" s="49" t="inlineStr">
        <is>
          <t>Tops</t>
        </is>
      </c>
      <c r="L21" s="49" t="inlineStr">
        <is>
          <t>Blouses</t>
        </is>
      </c>
      <c r="M21" s="49" t="n">
        <v>218</v>
      </c>
      <c r="N21" s="49" t="b">
        <v>1</v>
      </c>
      <c r="O21" s="49" t="b">
        <v>1</v>
      </c>
    </row>
    <row r="22" ht="64" customHeight="1" s="36">
      <c r="A22" s="49" t="inlineStr">
        <is>
          <t>R021</t>
        </is>
      </c>
      <c r="B22" s="49" t="n">
        <v>39</v>
      </c>
      <c r="C22" s="49" t="n">
        <v>862</v>
      </c>
      <c r="D22" s="49" t="inlineStr">
        <is>
          <t>Final_Evaluation</t>
        </is>
      </c>
      <c r="E22" s="47" t="n"/>
      <c r="F22" s="47" t="inlineStr">
        <is>
          <t>Great casual top with flare. looks cute with grey pilcro stet jeans. flattering with peplum in back. nice cut for shoulders and neckline.</t>
        </is>
      </c>
      <c r="G22" s="49" t="n">
        <v>5</v>
      </c>
      <c r="H22" s="49" t="n">
        <v>1</v>
      </c>
      <c r="I22" s="49" t="n">
        <v>0</v>
      </c>
      <c r="J22" s="49" t="inlineStr">
        <is>
          <t>General</t>
        </is>
      </c>
      <c r="K22" s="49" t="inlineStr">
        <is>
          <t>Tops</t>
        </is>
      </c>
      <c r="L22" s="49" t="inlineStr">
        <is>
          <t>Knits</t>
        </is>
      </c>
      <c r="M22" s="49" t="n">
        <v>137</v>
      </c>
      <c r="N22" s="49" t="b">
        <v>0</v>
      </c>
      <c r="O22" s="49" t="b">
        <v>0</v>
      </c>
    </row>
    <row r="23" ht="64" customHeight="1" s="36">
      <c r="A23" s="49" t="inlineStr">
        <is>
          <t>R022</t>
        </is>
      </c>
      <c r="B23" s="49" t="n">
        <v>41</v>
      </c>
      <c r="C23" s="49" t="n">
        <v>862</v>
      </c>
      <c r="D23" s="49" t="inlineStr">
        <is>
          <t>Final_Evaluation</t>
        </is>
      </c>
      <c r="E23" s="47" t="n"/>
      <c r="F23" s="47" t="inlineStr">
        <is>
          <t>This is a beautiful top. it's unique and not so ordinary. i bought my usual medium and i found that it fits tight across my chest. although i had a baby this year and i am nursing, so that could be why. if i bought again i would size up.</t>
        </is>
      </c>
      <c r="G23" s="49" t="n">
        <v>5</v>
      </c>
      <c r="H23" s="49" t="n">
        <v>1</v>
      </c>
      <c r="I23" s="49" t="n">
        <v>0</v>
      </c>
      <c r="J23" s="49" t="inlineStr">
        <is>
          <t>General</t>
        </is>
      </c>
      <c r="K23" s="49" t="inlineStr">
        <is>
          <t>Tops</t>
        </is>
      </c>
      <c r="L23" s="49" t="inlineStr">
        <is>
          <t>Knits</t>
        </is>
      </c>
      <c r="M23" s="49" t="n">
        <v>237</v>
      </c>
      <c r="N23" s="49" t="b">
        <v>1</v>
      </c>
      <c r="O23" s="49" t="b">
        <v>0</v>
      </c>
    </row>
    <row r="24" ht="64" customHeight="1" s="36">
      <c r="A24" s="49" t="inlineStr">
        <is>
          <t>R023</t>
        </is>
      </c>
      <c r="B24" s="49" t="n">
        <v>64</v>
      </c>
      <c r="C24" s="49" t="n">
        <v>862</v>
      </c>
      <c r="D24" s="49" t="inlineStr">
        <is>
          <t>Final_Evaluation</t>
        </is>
      </c>
      <c r="E24" s="47" t="inlineStr">
        <is>
          <t>Love this top</t>
        </is>
      </c>
      <c r="F24" s="47" t="inlineStr">
        <is>
          <t>Loved this top and was really happy to find it on sale!</t>
        </is>
      </c>
      <c r="G24" s="49" t="n">
        <v>5</v>
      </c>
      <c r="H24" s="49" t="n">
        <v>1</v>
      </c>
      <c r="I24" s="49" t="n">
        <v>0</v>
      </c>
      <c r="J24" s="49" t="inlineStr">
        <is>
          <t>General</t>
        </is>
      </c>
      <c r="K24" s="49" t="inlineStr">
        <is>
          <t>Tops</t>
        </is>
      </c>
      <c r="L24" s="49" t="inlineStr">
        <is>
          <t>Knits</t>
        </is>
      </c>
      <c r="M24" s="49" t="n">
        <v>55</v>
      </c>
      <c r="N24" s="49" t="b">
        <v>0</v>
      </c>
      <c r="O24" s="49" t="b">
        <v>0</v>
      </c>
    </row>
    <row r="25" ht="64" customHeight="1" s="36">
      <c r="A25" s="49" t="inlineStr">
        <is>
          <t>R024</t>
        </is>
      </c>
      <c r="B25" s="49" t="n">
        <v>67</v>
      </c>
      <c r="C25" s="49" t="n">
        <v>862</v>
      </c>
      <c r="D25" s="49" t="inlineStr">
        <is>
          <t>Final_Evaluation</t>
        </is>
      </c>
      <c r="E25" s="47" t="inlineStr">
        <is>
          <t>Beautiful top</t>
        </is>
      </c>
      <c r="F25" s="47" t="inlineStr">
        <is>
          <t>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t>
        </is>
      </c>
      <c r="G25" s="49" t="n">
        <v>5</v>
      </c>
      <c r="H25" s="49" t="n">
        <v>1</v>
      </c>
      <c r="I25" s="49" t="n">
        <v>1</v>
      </c>
      <c r="J25" s="49" t="inlineStr">
        <is>
          <t>General</t>
        </is>
      </c>
      <c r="K25" s="49" t="inlineStr">
        <is>
          <t>Tops</t>
        </is>
      </c>
      <c r="L25" s="49" t="inlineStr">
        <is>
          <t>Knits</t>
        </is>
      </c>
      <c r="M25" s="49" t="n">
        <v>484</v>
      </c>
      <c r="N25" s="49" t="b">
        <v>1</v>
      </c>
      <c r="O25" s="49" t="b">
        <v>1</v>
      </c>
    </row>
    <row r="26" ht="64" customHeight="1" s="36">
      <c r="A26" s="49" t="inlineStr">
        <is>
          <t>R025</t>
        </is>
      </c>
      <c r="B26" s="49" t="n">
        <v>206</v>
      </c>
      <c r="C26" s="49" t="n">
        <v>862</v>
      </c>
      <c r="D26" s="49" t="inlineStr">
        <is>
          <t>Final_Evaluation</t>
        </is>
      </c>
      <c r="E26" s="47" t="n"/>
      <c r="F26" s="47" t="inlineStr">
        <is>
          <t>Great shirt to wear with white pants and wedges. i'm a teacher and this is perfect for warmer months for school or for casual evening out. it runs big but falls in such a way that it doesn't make the wearer look big; it falls elegantly and in a flattering way. great, versatile shirt.</t>
        </is>
      </c>
      <c r="G26" s="49" t="n">
        <v>5</v>
      </c>
      <c r="H26" s="49" t="n">
        <v>1</v>
      </c>
      <c r="I26" s="49" t="n">
        <v>1</v>
      </c>
      <c r="J26" s="49" t="inlineStr">
        <is>
          <t>General</t>
        </is>
      </c>
      <c r="K26" s="49" t="inlineStr">
        <is>
          <t>Tops</t>
        </is>
      </c>
      <c r="L26" s="49" t="inlineStr">
        <is>
          <t>Knits</t>
        </is>
      </c>
      <c r="M26" s="49" t="n">
        <v>284</v>
      </c>
      <c r="N26" s="49" t="b">
        <v>1</v>
      </c>
      <c r="O26" s="49" t="b">
        <v>0</v>
      </c>
    </row>
    <row r="27" ht="64" customHeight="1" s="36">
      <c r="A27" s="49" t="inlineStr">
        <is>
          <t>R026</t>
        </is>
      </c>
      <c r="B27" s="49" t="n">
        <v>209</v>
      </c>
      <c r="C27" s="49" t="n">
        <v>862</v>
      </c>
      <c r="D27" s="49" t="inlineStr">
        <is>
          <t>Final_Evaluation</t>
        </is>
      </c>
      <c r="E27" s="47" t="n"/>
      <c r="F27" s="47" t="inlineStr">
        <is>
          <t>Love the fabric of this shirt even though it was thinner than i expected. it is soft to the skin and flattering. however i returned it because it is made for women with long torso and shorter shoulders.</t>
        </is>
      </c>
      <c r="G27" s="49" t="n">
        <v>1</v>
      </c>
      <c r="H27" s="49" t="n">
        <v>0</v>
      </c>
      <c r="I27" s="49" t="n">
        <v>1</v>
      </c>
      <c r="J27" s="49" t="inlineStr">
        <is>
          <t>General</t>
        </is>
      </c>
      <c r="K27" s="49" t="inlineStr">
        <is>
          <t>Tops</t>
        </is>
      </c>
      <c r="L27" s="49" t="inlineStr">
        <is>
          <t>Knits</t>
        </is>
      </c>
      <c r="M27" s="49" t="n">
        <v>202</v>
      </c>
      <c r="N27" s="49" t="b">
        <v>1</v>
      </c>
      <c r="O27" s="49" t="b">
        <v>1</v>
      </c>
    </row>
    <row r="28" ht="64" customHeight="1" s="36">
      <c r="A28" s="49" t="inlineStr">
        <is>
          <t>R027</t>
        </is>
      </c>
      <c r="B28" s="49" t="n">
        <v>358</v>
      </c>
      <c r="C28" s="49" t="n">
        <v>862</v>
      </c>
      <c r="D28" s="49" t="inlineStr">
        <is>
          <t>Final_Evaluation</t>
        </is>
      </c>
      <c r="E28" s="47" t="inlineStr">
        <is>
          <t>Almost but not quite</t>
        </is>
      </c>
      <c r="F28" s="47" t="inlineStr">
        <is>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is>
      </c>
      <c r="G28" s="49" t="n">
        <v>3</v>
      </c>
      <c r="H28" s="49" t="n">
        <v>0</v>
      </c>
      <c r="I28" s="49" t="n">
        <v>0</v>
      </c>
      <c r="J28" s="49" t="inlineStr">
        <is>
          <t>General Petite</t>
        </is>
      </c>
      <c r="K28" s="49" t="inlineStr">
        <is>
          <t>Tops</t>
        </is>
      </c>
      <c r="L28" s="49" t="inlineStr">
        <is>
          <t>Knits</t>
        </is>
      </c>
      <c r="M28" s="49" t="n">
        <v>340</v>
      </c>
      <c r="N28" s="49" t="b">
        <v>1</v>
      </c>
      <c r="O28" s="49" t="b">
        <v>1</v>
      </c>
    </row>
    <row r="29" ht="64" customHeight="1" s="36">
      <c r="A29" s="49" t="inlineStr">
        <is>
          <t>R028</t>
        </is>
      </c>
      <c r="B29" s="49" t="n">
        <v>366</v>
      </c>
      <c r="C29" s="49" t="n">
        <v>862</v>
      </c>
      <c r="D29" s="49" t="inlineStr">
        <is>
          <t>Final_Evaluation</t>
        </is>
      </c>
      <c r="E29" s="47" t="inlineStr">
        <is>
          <t>Looks better when tried on; very cute</t>
        </is>
      </c>
      <c r="F29" s="47" t="inlineStr">
        <is>
          <t>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t>
        </is>
      </c>
      <c r="G29" s="49" t="n">
        <v>5</v>
      </c>
      <c r="H29" s="49" t="n">
        <v>1</v>
      </c>
      <c r="I29" s="49" t="n">
        <v>1</v>
      </c>
      <c r="J29" s="49" t="inlineStr">
        <is>
          <t>General</t>
        </is>
      </c>
      <c r="K29" s="49" t="inlineStr">
        <is>
          <t>Tops</t>
        </is>
      </c>
      <c r="L29" s="49" t="inlineStr">
        <is>
          <t>Knits</t>
        </is>
      </c>
      <c r="M29" s="49" t="n">
        <v>500</v>
      </c>
      <c r="N29" s="49" t="b">
        <v>1</v>
      </c>
      <c r="O29" s="49" t="b">
        <v>1</v>
      </c>
    </row>
    <row r="30" ht="64" customHeight="1" s="36">
      <c r="A30" s="49" t="inlineStr">
        <is>
          <t>R029</t>
        </is>
      </c>
      <c r="B30" s="49" t="n">
        <v>376</v>
      </c>
      <c r="C30" s="49" t="n">
        <v>862</v>
      </c>
      <c r="D30" s="49" t="inlineStr">
        <is>
          <t>Final_Evaluation</t>
        </is>
      </c>
      <c r="E30" s="47" t="inlineStr">
        <is>
          <t>Just okay</t>
        </is>
      </c>
      <c r="F30" s="47" t="inlineStr">
        <is>
          <t>I was looking for a basic tee, but this one was just ok...the quality is okay, but it us not as soft as i would have liked. unfortunately, i will be returning this item.</t>
        </is>
      </c>
      <c r="G30" s="49" t="n">
        <v>3</v>
      </c>
      <c r="H30" s="49" t="n">
        <v>0</v>
      </c>
      <c r="I30" s="49" t="n">
        <v>0</v>
      </c>
      <c r="J30" s="49" t="inlineStr">
        <is>
          <t>General</t>
        </is>
      </c>
      <c r="K30" s="49" t="inlineStr">
        <is>
          <t>Tops</t>
        </is>
      </c>
      <c r="L30" s="49" t="inlineStr">
        <is>
          <t>Knits</t>
        </is>
      </c>
      <c r="M30" s="49" t="n">
        <v>169</v>
      </c>
      <c r="N30" s="49" t="b">
        <v>0</v>
      </c>
      <c r="O30" s="49" t="b">
        <v>1</v>
      </c>
    </row>
    <row r="31" ht="64" customHeight="1" s="36">
      <c r="A31" s="49" t="inlineStr">
        <is>
          <t>R030</t>
        </is>
      </c>
      <c r="B31" s="49" t="n">
        <v>931</v>
      </c>
      <c r="C31" s="49" t="n">
        <v>862</v>
      </c>
      <c r="D31" s="49" t="inlineStr">
        <is>
          <t>Final_Evaluation</t>
        </is>
      </c>
      <c r="E31" s="47" t="inlineStr">
        <is>
          <t>Perfect tee!</t>
        </is>
      </c>
      <c r="F31" s="47" t="inlineStr">
        <is>
          <t>I bought this tee in all 3 colors, and wish there were more! fabulous quality, material and style. can dress up or down; wear with jeans, pants or skirts. wear alone or layer. don't miss out on this addition to your wardrobe!</t>
        </is>
      </c>
      <c r="G31" s="49" t="n">
        <v>5</v>
      </c>
      <c r="H31" s="49" t="n">
        <v>1</v>
      </c>
      <c r="I31" s="49" t="n">
        <v>0</v>
      </c>
      <c r="J31" s="49" t="inlineStr">
        <is>
          <t>General</t>
        </is>
      </c>
      <c r="K31" s="49" t="inlineStr">
        <is>
          <t>Tops</t>
        </is>
      </c>
      <c r="L31" s="49" t="inlineStr">
        <is>
          <t>Knits</t>
        </is>
      </c>
      <c r="M31" s="49" t="n">
        <v>225</v>
      </c>
      <c r="N31" s="49" t="b">
        <v>0</v>
      </c>
      <c r="O31" s="49" t="b">
        <v>1</v>
      </c>
    </row>
    <row r="32" ht="64" customHeight="1" s="36">
      <c r="A32" s="49" t="inlineStr">
        <is>
          <t>R031</t>
        </is>
      </c>
      <c r="B32" s="49" t="n">
        <v>723</v>
      </c>
      <c r="C32" s="49" t="n">
        <v>886</v>
      </c>
      <c r="D32" s="49" t="inlineStr">
        <is>
          <t>Development</t>
        </is>
      </c>
      <c r="E32" s="47" t="inlineStr">
        <is>
          <t>Adorable t-shirt</t>
        </is>
      </c>
      <c r="F32" s="47" t="inlineStr">
        <is>
          <t>This is absolutely adorable and so flattering! i have the patterned shirt, and i just purchased the white one and the orange one because i like it so much. i am 5 ft. 9" and 155 lbs. and the medium fits nicely. hope this helps!</t>
        </is>
      </c>
      <c r="G32" s="49" t="n">
        <v>5</v>
      </c>
      <c r="H32" s="49" t="n">
        <v>1</v>
      </c>
      <c r="I32" s="49" t="n">
        <v>43</v>
      </c>
      <c r="J32" s="49" t="inlineStr">
        <is>
          <t>General Petite</t>
        </is>
      </c>
      <c r="K32" s="49" t="inlineStr">
        <is>
          <t>Tops</t>
        </is>
      </c>
      <c r="L32" s="49" t="inlineStr">
        <is>
          <t>Knits</t>
        </is>
      </c>
      <c r="M32" s="49" t="n">
        <v>227</v>
      </c>
      <c r="N32" s="49" t="b">
        <v>1</v>
      </c>
      <c r="O32" s="49" t="b">
        <v>0</v>
      </c>
    </row>
    <row r="33" ht="64" customHeight="1" s="36">
      <c r="A33" s="49" t="inlineStr">
        <is>
          <t>R032</t>
        </is>
      </c>
      <c r="B33" s="49" t="n">
        <v>731</v>
      </c>
      <c r="C33" s="49" t="n">
        <v>886</v>
      </c>
      <c r="D33" s="49" t="inlineStr">
        <is>
          <t>Development</t>
        </is>
      </c>
      <c r="E33" s="47" t="inlineStr">
        <is>
          <t>Great casual shirt</t>
        </is>
      </c>
      <c r="F33" s="47" t="inlineStr">
        <is>
          <t>Absolutely in love with this shirt. the neckline is extremely flattering, and the shirt naturally comes away from the body.</t>
        </is>
      </c>
      <c r="G33" s="49" t="n">
        <v>4</v>
      </c>
      <c r="H33" s="49" t="n">
        <v>1</v>
      </c>
      <c r="I33" s="49" t="n">
        <v>0</v>
      </c>
      <c r="J33" s="49" t="inlineStr">
        <is>
          <t>General Petite</t>
        </is>
      </c>
      <c r="K33" s="49" t="inlineStr">
        <is>
          <t>Tops</t>
        </is>
      </c>
      <c r="L33" s="49" t="inlineStr">
        <is>
          <t>Knits</t>
        </is>
      </c>
      <c r="M33" s="49" t="n">
        <v>123</v>
      </c>
      <c r="N33" s="49" t="b">
        <v>0</v>
      </c>
      <c r="O33" s="49" t="b">
        <v>0</v>
      </c>
    </row>
    <row r="34" ht="64" customHeight="1" s="36">
      <c r="A34" s="49" t="inlineStr">
        <is>
          <t>R033</t>
        </is>
      </c>
      <c r="B34" s="49" t="n">
        <v>761</v>
      </c>
      <c r="C34" s="49" t="n">
        <v>886</v>
      </c>
      <c r="D34" s="49" t="inlineStr">
        <is>
          <t>Development</t>
        </is>
      </c>
      <c r="E34" s="47" t="n"/>
      <c r="F34" s="47" t="inlineStr">
        <is>
          <t>Bought this today - cant speak to wear - but overall design is so incredibly cute and flattering. i am usually a small or medium, but went with a medium. so different and wearable! white is sheer so opted for a denimy blue color that i dont see listed available online.</t>
        </is>
      </c>
      <c r="G34" s="49" t="n">
        <v>5</v>
      </c>
      <c r="H34" s="49" t="n">
        <v>1</v>
      </c>
      <c r="I34" s="49" t="n">
        <v>21</v>
      </c>
      <c r="J34" s="49" t="inlineStr">
        <is>
          <t>General Petite</t>
        </is>
      </c>
      <c r="K34" s="49" t="inlineStr">
        <is>
          <t>Tops</t>
        </is>
      </c>
      <c r="L34" s="49" t="inlineStr">
        <is>
          <t>Knits</t>
        </is>
      </c>
      <c r="M34" s="49" t="n">
        <v>269</v>
      </c>
      <c r="N34" s="49" t="b">
        <v>1</v>
      </c>
      <c r="O34" s="49" t="b">
        <v>1</v>
      </c>
    </row>
    <row r="35" ht="64" customHeight="1" s="36">
      <c r="A35" s="49" t="inlineStr">
        <is>
          <t>R034</t>
        </is>
      </c>
      <c r="B35" s="49" t="n">
        <v>808</v>
      </c>
      <c r="C35" s="49" t="n">
        <v>886</v>
      </c>
      <c r="D35" s="49" t="inlineStr">
        <is>
          <t>Development</t>
        </is>
      </c>
      <c r="E35" s="47" t="n"/>
      <c r="F35" s="47" t="inlineStr">
        <is>
          <t>I bought this in black. it's a great long length. i have long arms so the sleeve length is great. it's really soft. only issue is seems to sag a little in the middle instead of being flowy. overall a good tunic.</t>
        </is>
      </c>
      <c r="G35" s="49" t="n">
        <v>3</v>
      </c>
      <c r="H35" s="49" t="n">
        <v>1</v>
      </c>
      <c r="I35" s="49" t="n">
        <v>0</v>
      </c>
      <c r="J35" s="49" t="inlineStr">
        <is>
          <t>General Petite</t>
        </is>
      </c>
      <c r="K35" s="49" t="inlineStr">
        <is>
          <t>Tops</t>
        </is>
      </c>
      <c r="L35" s="49" t="inlineStr">
        <is>
          <t>Knits</t>
        </is>
      </c>
      <c r="M35" s="49" t="n">
        <v>211</v>
      </c>
      <c r="N35" s="49" t="b">
        <v>1</v>
      </c>
      <c r="O35" s="49" t="b">
        <v>1</v>
      </c>
    </row>
    <row r="36" ht="64" customHeight="1" s="36">
      <c r="A36" s="49" t="inlineStr">
        <is>
          <t>R035</t>
        </is>
      </c>
      <c r="B36" s="49" t="n">
        <v>810</v>
      </c>
      <c r="C36" s="49" t="n">
        <v>886</v>
      </c>
      <c r="D36" s="49" t="inlineStr">
        <is>
          <t>Development</t>
        </is>
      </c>
      <c r="E36" s="47" t="inlineStr">
        <is>
          <t>Loved this top</t>
        </is>
      </c>
      <c r="F36" s="47" t="inlineStr">
        <is>
          <t>Purchased in the blue. the color is a little darker than it shows. more of a slate blue. loved the fit. i am tall so it covered perfectly.</t>
        </is>
      </c>
      <c r="G36" s="49" t="n">
        <v>5</v>
      </c>
      <c r="H36" s="49" t="n">
        <v>1</v>
      </c>
      <c r="I36" s="49" t="n">
        <v>0</v>
      </c>
      <c r="J36" s="49" t="inlineStr">
        <is>
          <t>General Petite</t>
        </is>
      </c>
      <c r="K36" s="49" t="inlineStr">
        <is>
          <t>Tops</t>
        </is>
      </c>
      <c r="L36" s="49" t="inlineStr">
        <is>
          <t>Knits</t>
        </is>
      </c>
      <c r="M36" s="49" t="n">
        <v>138</v>
      </c>
      <c r="N36" s="49" t="b">
        <v>1</v>
      </c>
      <c r="O36" s="49" t="b">
        <v>1</v>
      </c>
    </row>
    <row r="37" ht="64" customHeight="1" s="36">
      <c r="A37" s="49" t="inlineStr">
        <is>
          <t>R036</t>
        </is>
      </c>
      <c r="B37" s="49" t="n">
        <v>814</v>
      </c>
      <c r="C37" s="49" t="n">
        <v>886</v>
      </c>
      <c r="D37" s="49" t="inlineStr">
        <is>
          <t>Development</t>
        </is>
      </c>
      <c r="E37" s="47" t="inlineStr">
        <is>
          <t>Might be great if you have a bun in the oven!</t>
        </is>
      </c>
      <c r="F37" s="47" t="inlineStr">
        <is>
          <t>Again, bought this while wearing my retailer colored glasses. i loved the flowiness and color of the dark pink, and was convinced in the dressing room that this top made me look like a chic goddess, mid-vacation on the amalfi coast. i tried it on at home, and it straight up looked like i was wearing a maternity top. since i'm not with child, this one's going back!</t>
        </is>
      </c>
      <c r="G37" s="49" t="n">
        <v>2</v>
      </c>
      <c r="H37" s="49" t="n">
        <v>0</v>
      </c>
      <c r="I37" s="49" t="n">
        <v>0</v>
      </c>
      <c r="J37" s="49" t="inlineStr">
        <is>
          <t>General Petite</t>
        </is>
      </c>
      <c r="K37" s="49" t="inlineStr">
        <is>
          <t>Tops</t>
        </is>
      </c>
      <c r="L37" s="49" t="inlineStr">
        <is>
          <t>Knits</t>
        </is>
      </c>
      <c r="M37" s="49" t="n">
        <v>366</v>
      </c>
      <c r="N37" s="49" t="b">
        <v>0</v>
      </c>
      <c r="O37" s="49" t="b">
        <v>1</v>
      </c>
    </row>
    <row r="38" ht="64" customHeight="1" s="36">
      <c r="A38" s="49" t="inlineStr">
        <is>
          <t>R037</t>
        </is>
      </c>
      <c r="B38" s="49" t="n">
        <v>837</v>
      </c>
      <c r="C38" s="49" t="n">
        <v>886</v>
      </c>
      <c r="D38" s="49" t="inlineStr">
        <is>
          <t>Development</t>
        </is>
      </c>
      <c r="E38" s="47" t="n"/>
      <c r="F38" s="47" t="inlineStr">
        <is>
          <t>I ordered this in two colors, in my regular size. i washed and laid flat to dry....it shrunk like crazy. i held the one i washed up to the other unworn/unwashed one and it was at least two inches shorter. they may both be going back. i am so sad.</t>
        </is>
      </c>
      <c r="G38" s="49" t="n">
        <v>4</v>
      </c>
      <c r="H38" s="49" t="n">
        <v>0</v>
      </c>
      <c r="I38" s="49" t="n">
        <v>6</v>
      </c>
      <c r="J38" s="49" t="inlineStr">
        <is>
          <t>General Petite</t>
        </is>
      </c>
      <c r="K38" s="49" t="inlineStr">
        <is>
          <t>Tops</t>
        </is>
      </c>
      <c r="L38" s="49" t="inlineStr">
        <is>
          <t>Knits</t>
        </is>
      </c>
      <c r="M38" s="49" t="n">
        <v>246</v>
      </c>
      <c r="N38" s="49" t="b">
        <v>1</v>
      </c>
      <c r="O38" s="49" t="b">
        <v>1</v>
      </c>
    </row>
    <row r="39" ht="64" customHeight="1" s="36">
      <c r="A39" s="49" t="inlineStr">
        <is>
          <t>R038</t>
        </is>
      </c>
      <c r="B39" s="49" t="n">
        <v>849</v>
      </c>
      <c r="C39" s="49" t="n">
        <v>886</v>
      </c>
      <c r="D39" s="49" t="inlineStr">
        <is>
          <t>Development</t>
        </is>
      </c>
      <c r="E39" s="47" t="inlineStr">
        <is>
          <t>Lokka is lovely</t>
        </is>
      </c>
      <c r="F39" s="47" t="inlineStr">
        <is>
          <t>The lokka tunic is a perfect go-to top for casual days or nights! pair it with skinny jeans or leggings and you are set! the long sleeves are fitted and long-so they can be bunched at the wrist. i ordered it in both the black and the the pale grey/blue shade. it is a winner.</t>
        </is>
      </c>
      <c r="G39" s="49" t="n">
        <v>5</v>
      </c>
      <c r="H39" s="49" t="n">
        <v>1</v>
      </c>
      <c r="I39" s="49" t="n">
        <v>0</v>
      </c>
      <c r="J39" s="49" t="inlineStr">
        <is>
          <t>General Petite</t>
        </is>
      </c>
      <c r="K39" s="49" t="inlineStr">
        <is>
          <t>Tops</t>
        </is>
      </c>
      <c r="L39" s="49" t="inlineStr">
        <is>
          <t>Knits</t>
        </is>
      </c>
      <c r="M39" s="49" t="n">
        <v>275</v>
      </c>
      <c r="N39" s="49" t="b">
        <v>1</v>
      </c>
      <c r="O39" s="49" t="b">
        <v>0</v>
      </c>
    </row>
    <row r="40" ht="64" customHeight="1" s="36">
      <c r="A40" s="49" t="inlineStr">
        <is>
          <t>R039</t>
        </is>
      </c>
      <c r="B40" s="49" t="n">
        <v>850</v>
      </c>
      <c r="C40" s="49" t="n">
        <v>886</v>
      </c>
      <c r="D40" s="49" t="inlineStr">
        <is>
          <t>Development</t>
        </is>
      </c>
      <c r="E40" s="47" t="n"/>
      <c r="F40" s="47" t="inlineStr">
        <is>
          <t>I got two of these when they went on sale because i hate paying $68 for a basic top like this.. but for the sale price they are great! comfortable, lightweight, and flattering. the black is a little sheer, but nothing a tank underneath can't solve. a good buy!</t>
        </is>
      </c>
      <c r="G40" s="49" t="n">
        <v>5</v>
      </c>
      <c r="H40" s="49" t="n">
        <v>1</v>
      </c>
      <c r="I40" s="49" t="n">
        <v>0</v>
      </c>
      <c r="J40" s="49" t="inlineStr">
        <is>
          <t>General Petite</t>
        </is>
      </c>
      <c r="K40" s="49" t="inlineStr">
        <is>
          <t>Tops</t>
        </is>
      </c>
      <c r="L40" s="49" t="inlineStr">
        <is>
          <t>Knits</t>
        </is>
      </c>
      <c r="M40" s="49" t="n">
        <v>260</v>
      </c>
      <c r="N40" s="49" t="b">
        <v>0</v>
      </c>
      <c r="O40" s="49" t="b">
        <v>1</v>
      </c>
    </row>
    <row r="41" ht="64" customHeight="1" s="36">
      <c r="A41" s="49" t="inlineStr">
        <is>
          <t>R040</t>
        </is>
      </c>
      <c r="B41" s="49" t="n">
        <v>859</v>
      </c>
      <c r="C41" s="49" t="n">
        <v>886</v>
      </c>
      <c r="D41" s="49" t="inlineStr">
        <is>
          <t>Development</t>
        </is>
      </c>
      <c r="E41" s="47" t="n"/>
      <c r="F41" s="47" t="inlineStr">
        <is>
          <t>Great style!</t>
        </is>
      </c>
      <c r="G41" s="49" t="n">
        <v>5</v>
      </c>
      <c r="H41" s="49" t="n">
        <v>1</v>
      </c>
      <c r="I41" s="49" t="n">
        <v>1</v>
      </c>
      <c r="J41" s="49" t="inlineStr">
        <is>
          <t>General Petite</t>
        </is>
      </c>
      <c r="K41" s="49" t="inlineStr">
        <is>
          <t>Tops</t>
        </is>
      </c>
      <c r="L41" s="49" t="inlineStr">
        <is>
          <t>Knits</t>
        </is>
      </c>
      <c r="M41" s="49" t="n">
        <v>12</v>
      </c>
      <c r="N41" s="49" t="b">
        <v>0</v>
      </c>
      <c r="O41" s="49" t="b">
        <v>0</v>
      </c>
    </row>
    <row r="42" ht="64" customHeight="1" s="36">
      <c r="A42" s="49" t="inlineStr">
        <is>
          <t>R041</t>
        </is>
      </c>
      <c r="B42" s="49" t="n">
        <v>177</v>
      </c>
      <c r="C42" s="49" t="n">
        <v>895</v>
      </c>
      <c r="D42" s="49" t="inlineStr">
        <is>
          <t>Final_Evaluation</t>
        </is>
      </c>
      <c r="E42" s="47" t="n"/>
      <c r="F42" s="47" t="inlineStr">
        <is>
          <t>I love this sweater!! i like sweaters that are narrow on top and taper out so it doesn't look like a sack on me. plus, it is the perfect weight. i wish i would have bought one in a different color because it is so comfortable.</t>
        </is>
      </c>
      <c r="G42" s="49" t="n">
        <v>5</v>
      </c>
      <c r="H42" s="49" t="n">
        <v>1</v>
      </c>
      <c r="I42" s="49" t="n">
        <v>0</v>
      </c>
      <c r="J42" s="49" t="inlineStr">
        <is>
          <t>General</t>
        </is>
      </c>
      <c r="K42" s="49" t="inlineStr">
        <is>
          <t>Tops</t>
        </is>
      </c>
      <c r="L42" s="49" t="inlineStr">
        <is>
          <t>Fine gauge</t>
        </is>
      </c>
      <c r="M42" s="49" t="n">
        <v>226</v>
      </c>
      <c r="N42" s="49" t="b">
        <v>0</v>
      </c>
      <c r="O42" s="49" t="b">
        <v>1</v>
      </c>
    </row>
    <row r="43" ht="64" customHeight="1" s="36">
      <c r="A43" s="49" t="inlineStr">
        <is>
          <t>R042</t>
        </is>
      </c>
      <c r="B43" s="49" t="n">
        <v>185</v>
      </c>
      <c r="C43" s="49" t="n">
        <v>895</v>
      </c>
      <c r="D43" s="49" t="inlineStr">
        <is>
          <t>Final_Evaluation</t>
        </is>
      </c>
      <c r="E43" s="47" t="inlineStr">
        <is>
          <t>Fits strange, flimsy material</t>
        </is>
      </c>
      <c r="F43" s="47" t="inlineStr">
        <is>
          <t>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t>
        </is>
      </c>
      <c r="G43" s="49" t="n">
        <v>2</v>
      </c>
      <c r="H43" s="49" t="n">
        <v>0</v>
      </c>
      <c r="I43" s="49" t="n">
        <v>0</v>
      </c>
      <c r="J43" s="49" t="inlineStr">
        <is>
          <t>General</t>
        </is>
      </c>
      <c r="K43" s="49" t="inlineStr">
        <is>
          <t>Tops</t>
        </is>
      </c>
      <c r="L43" s="49" t="inlineStr">
        <is>
          <t>Fine gauge</t>
        </is>
      </c>
      <c r="M43" s="49" t="n">
        <v>502</v>
      </c>
      <c r="N43" s="49" t="b">
        <v>1</v>
      </c>
      <c r="O43" s="49" t="b">
        <v>1</v>
      </c>
    </row>
    <row r="44" ht="64" customHeight="1" s="36">
      <c r="A44" s="49" t="inlineStr">
        <is>
          <t>R043</t>
        </is>
      </c>
      <c r="B44" s="49" t="n">
        <v>202</v>
      </c>
      <c r="C44" s="49" t="n">
        <v>895</v>
      </c>
      <c r="D44" s="49" t="inlineStr">
        <is>
          <t>Final_Evaluation</t>
        </is>
      </c>
      <c r="E44" s="47" t="inlineStr">
        <is>
          <t>Not worth cost</t>
        </is>
      </c>
      <c r="F44" s="47" t="inlineStr">
        <is>
          <t>Bought this item on sale and was very disappointed in the quality for the cost. fabric feels cheap, like it will snag easily and will stretch out quickly. did not flatter the female form- felt like a burlap sack. gorgeous blue color but not worth the price tag. returned it.</t>
        </is>
      </c>
      <c r="G44" s="49" t="n">
        <v>3</v>
      </c>
      <c r="H44" s="49" t="n">
        <v>0</v>
      </c>
      <c r="I44" s="49" t="n">
        <v>0</v>
      </c>
      <c r="J44" s="49" t="inlineStr">
        <is>
          <t>General</t>
        </is>
      </c>
      <c r="K44" s="49" t="inlineStr">
        <is>
          <t>Tops</t>
        </is>
      </c>
      <c r="L44" s="49" t="inlineStr">
        <is>
          <t>Fine gauge</t>
        </is>
      </c>
      <c r="M44" s="49" t="n">
        <v>274</v>
      </c>
      <c r="N44" s="49" t="b">
        <v>0</v>
      </c>
      <c r="O44" s="49" t="b">
        <v>1</v>
      </c>
    </row>
    <row r="45" ht="64" customHeight="1" s="36">
      <c r="A45" s="49" t="inlineStr">
        <is>
          <t>R044</t>
        </is>
      </c>
      <c r="B45" s="49" t="n">
        <v>208</v>
      </c>
      <c r="C45" s="49" t="n">
        <v>895</v>
      </c>
      <c r="D45" s="49" t="inlineStr">
        <is>
          <t>Final_Evaluation</t>
        </is>
      </c>
      <c r="E45" s="47" t="n"/>
      <c r="F45" s="47" t="inlineStr">
        <is>
          <t>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t>
        </is>
      </c>
      <c r="G45" s="49" t="n">
        <v>5</v>
      </c>
      <c r="H45" s="49" t="n">
        <v>1</v>
      </c>
      <c r="I45" s="49" t="n">
        <v>0</v>
      </c>
      <c r="J45" s="49" t="inlineStr">
        <is>
          <t>General</t>
        </is>
      </c>
      <c r="K45" s="49" t="inlineStr">
        <is>
          <t>Tops</t>
        </is>
      </c>
      <c r="L45" s="49" t="inlineStr">
        <is>
          <t>Fine gauge</t>
        </is>
      </c>
      <c r="M45" s="49" t="n">
        <v>500</v>
      </c>
      <c r="N45" s="49" t="b">
        <v>1</v>
      </c>
      <c r="O45" s="49" t="b">
        <v>1</v>
      </c>
    </row>
    <row r="46" ht="64" customHeight="1" s="36">
      <c r="A46" s="49" t="inlineStr">
        <is>
          <t>R045</t>
        </is>
      </c>
      <c r="B46" s="49" t="n">
        <v>777</v>
      </c>
      <c r="C46" s="49" t="n">
        <v>895</v>
      </c>
      <c r="D46" s="49" t="inlineStr">
        <is>
          <t>Final_Evaluation</t>
        </is>
      </c>
      <c r="E46" s="47" t="inlineStr">
        <is>
          <t>Most beautiful sweater that i own!</t>
        </is>
      </c>
      <c r="F46" s="47" t="inlineStr">
        <is>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is>
      </c>
      <c r="G46" s="49" t="n">
        <v>5</v>
      </c>
      <c r="H46" s="49" t="n">
        <v>1</v>
      </c>
      <c r="I46" s="49" t="n">
        <v>3</v>
      </c>
      <c r="J46" s="49" t="inlineStr">
        <is>
          <t>General</t>
        </is>
      </c>
      <c r="K46" s="49" t="inlineStr">
        <is>
          <t>Tops</t>
        </is>
      </c>
      <c r="L46" s="49" t="inlineStr">
        <is>
          <t>Fine gauge</t>
        </is>
      </c>
      <c r="M46" s="49" t="n">
        <v>500</v>
      </c>
      <c r="N46" s="49" t="b">
        <v>1</v>
      </c>
      <c r="O46" s="49" t="b">
        <v>1</v>
      </c>
    </row>
    <row r="47" ht="64" customHeight="1" s="36">
      <c r="A47" s="49" t="inlineStr">
        <is>
          <t>R046</t>
        </is>
      </c>
      <c r="B47" s="49" t="n">
        <v>783</v>
      </c>
      <c r="C47" s="49" t="n">
        <v>895</v>
      </c>
      <c r="D47" s="49" t="inlineStr">
        <is>
          <t>Final_Evaluation</t>
        </is>
      </c>
      <c r="E47" s="47" t="inlineStr">
        <is>
          <t>Didn't work on my pear shape</t>
        </is>
      </c>
      <c r="F47" s="47" t="inlineStr">
        <is>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is>
      </c>
      <c r="G47" s="49" t="n">
        <v>3</v>
      </c>
      <c r="H47" s="49" t="n">
        <v>0</v>
      </c>
      <c r="I47" s="49" t="n">
        <v>0</v>
      </c>
      <c r="J47" s="49" t="inlineStr">
        <is>
          <t>General</t>
        </is>
      </c>
      <c r="K47" s="49" t="inlineStr">
        <is>
          <t>Tops</t>
        </is>
      </c>
      <c r="L47" s="49" t="inlineStr">
        <is>
          <t>Fine gauge</t>
        </is>
      </c>
      <c r="M47" s="49" t="n">
        <v>396</v>
      </c>
      <c r="N47" s="49" t="b">
        <v>1</v>
      </c>
      <c r="O47" s="49" t="b">
        <v>0</v>
      </c>
    </row>
    <row r="48" ht="64" customHeight="1" s="36">
      <c r="A48" s="49" t="inlineStr">
        <is>
          <t>R047</t>
        </is>
      </c>
      <c r="B48" s="49" t="n">
        <v>804</v>
      </c>
      <c r="C48" s="49" t="n">
        <v>895</v>
      </c>
      <c r="D48" s="49" t="inlineStr">
        <is>
          <t>Final_Evaluation</t>
        </is>
      </c>
      <c r="E48" s="47" t="inlineStr">
        <is>
          <t>Beautiful sweater!</t>
        </is>
      </c>
      <c r="F48" s="47" t="inlineStr">
        <is>
          <t>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t>
        </is>
      </c>
      <c r="G48" s="49" t="n">
        <v>5</v>
      </c>
      <c r="H48" s="49" t="n">
        <v>1</v>
      </c>
      <c r="I48" s="49" t="n">
        <v>1</v>
      </c>
      <c r="J48" s="49" t="inlineStr">
        <is>
          <t>General</t>
        </is>
      </c>
      <c r="K48" s="49" t="inlineStr">
        <is>
          <t>Tops</t>
        </is>
      </c>
      <c r="L48" s="49" t="inlineStr">
        <is>
          <t>Fine gauge</t>
        </is>
      </c>
      <c r="M48" s="49" t="n">
        <v>417</v>
      </c>
      <c r="N48" s="49" t="b">
        <v>1</v>
      </c>
      <c r="O48" s="49" t="b">
        <v>1</v>
      </c>
    </row>
    <row r="49" ht="64" customHeight="1" s="36">
      <c r="A49" s="49" t="inlineStr">
        <is>
          <t>R048</t>
        </is>
      </c>
      <c r="B49" s="49" t="n">
        <v>830</v>
      </c>
      <c r="C49" s="49" t="n">
        <v>895</v>
      </c>
      <c r="D49" s="49" t="inlineStr">
        <is>
          <t>Final_Evaluation</t>
        </is>
      </c>
      <c r="E49" s="47" t="inlineStr">
        <is>
          <t>Gold thread</t>
        </is>
      </c>
      <c r="F49" s="47" t="inlineStr">
        <is>
          <t>This is a very pretty sweater, a bit boxy and short but cute. i am 5'1" and ordered the regular xs in black. the thing i did not like about this sweater was the gold thread through the back lace. i would have kept this if it was plain black lace. just did not like that look.</t>
        </is>
      </c>
      <c r="G49" s="49" t="n">
        <v>2</v>
      </c>
      <c r="H49" s="49" t="n">
        <v>0</v>
      </c>
      <c r="I49" s="49" t="n">
        <v>2</v>
      </c>
      <c r="J49" s="49" t="inlineStr">
        <is>
          <t>General</t>
        </is>
      </c>
      <c r="K49" s="49" t="inlineStr">
        <is>
          <t>Tops</t>
        </is>
      </c>
      <c r="L49" s="49" t="inlineStr">
        <is>
          <t>Fine gauge</t>
        </is>
      </c>
      <c r="M49" s="49" t="n">
        <v>275</v>
      </c>
      <c r="N49" s="49" t="b">
        <v>1</v>
      </c>
      <c r="O49" s="49" t="b">
        <v>0</v>
      </c>
    </row>
    <row r="50" ht="64" customHeight="1" s="36">
      <c r="A50" s="49" t="inlineStr">
        <is>
          <t>R049</t>
        </is>
      </c>
      <c r="B50" s="49" t="n">
        <v>855</v>
      </c>
      <c r="C50" s="49" t="n">
        <v>895</v>
      </c>
      <c r="D50" s="49" t="inlineStr">
        <is>
          <t>Final_Evaluation</t>
        </is>
      </c>
      <c r="E50" s="47" t="inlineStr">
        <is>
          <t>Cute!!</t>
        </is>
      </c>
      <c r="F50" s="47" t="inlineStr">
        <is>
          <t>I am going to disagree with reviewers who say this runs small. i found it very short and wide. that being said, it is meant to be cropped. i ordered a size small and it fit perfectly, albeit a little short. for reference, i am usually a size 6/medium in retailer shirts and dresses.</t>
        </is>
      </c>
      <c r="G50" s="49" t="n">
        <v>5</v>
      </c>
      <c r="H50" s="49" t="n">
        <v>1</v>
      </c>
      <c r="I50" s="49" t="n">
        <v>0</v>
      </c>
      <c r="J50" s="49" t="inlineStr">
        <is>
          <t>General</t>
        </is>
      </c>
      <c r="K50" s="49" t="inlineStr">
        <is>
          <t>Tops</t>
        </is>
      </c>
      <c r="L50" s="49" t="inlineStr">
        <is>
          <t>Fine gauge</t>
        </is>
      </c>
      <c r="M50" s="49" t="n">
        <v>282</v>
      </c>
      <c r="N50" s="49" t="b">
        <v>1</v>
      </c>
      <c r="O50" s="49" t="b">
        <v>0</v>
      </c>
    </row>
    <row r="51" ht="64" customHeight="1" s="36">
      <c r="A51" s="49" t="inlineStr">
        <is>
          <t>R050</t>
        </is>
      </c>
      <c r="B51" s="49" t="n">
        <v>865</v>
      </c>
      <c r="C51" s="49" t="n">
        <v>895</v>
      </c>
      <c r="D51" s="49" t="inlineStr">
        <is>
          <t>Final_Evaluation</t>
        </is>
      </c>
      <c r="E51" s="47" t="inlineStr">
        <is>
          <t>Great cardigan</t>
        </is>
      </c>
      <c r="F51" s="47" t="inlineStr">
        <is>
          <t>Love this cardigan. fits just as i expected. very structured in the front with a bit of flair in the back.</t>
        </is>
      </c>
      <c r="G51" s="49" t="n">
        <v>5</v>
      </c>
      <c r="H51" s="49" t="n">
        <v>1</v>
      </c>
      <c r="I51" s="49" t="n">
        <v>0</v>
      </c>
      <c r="J51" s="49" t="inlineStr">
        <is>
          <t>General Petite</t>
        </is>
      </c>
      <c r="K51" s="49" t="inlineStr">
        <is>
          <t>Tops</t>
        </is>
      </c>
      <c r="L51" s="49" t="inlineStr">
        <is>
          <t>Fine gauge</t>
        </is>
      </c>
      <c r="M51" s="49" t="n">
        <v>106</v>
      </c>
      <c r="N51" s="49" t="b">
        <v>1</v>
      </c>
      <c r="O51" s="49" t="b">
        <v>0</v>
      </c>
    </row>
    <row r="52" ht="64" customHeight="1" s="36">
      <c r="A52" s="49" t="inlineStr">
        <is>
          <t>R051</t>
        </is>
      </c>
      <c r="B52" s="49" t="n">
        <v>355</v>
      </c>
      <c r="C52" s="49" t="n">
        <v>936</v>
      </c>
      <c r="D52" s="49" t="inlineStr">
        <is>
          <t>Final_Evaluation</t>
        </is>
      </c>
      <c r="E52" s="47" t="n"/>
      <c r="F52" s="47" t="inlineStr">
        <is>
          <t>Love this. it's heavy/warm, stylish and a great throw on any outfit. oversized style.</t>
        </is>
      </c>
      <c r="G52" s="49" t="n">
        <v>5</v>
      </c>
      <c r="H52" s="49" t="n">
        <v>1</v>
      </c>
      <c r="I52" s="49" t="n">
        <v>0</v>
      </c>
      <c r="J52" s="49" t="inlineStr">
        <is>
          <t>General Petite</t>
        </is>
      </c>
      <c r="K52" s="49" t="inlineStr">
        <is>
          <t>Tops</t>
        </is>
      </c>
      <c r="L52" s="49" t="inlineStr">
        <is>
          <t>Sweaters</t>
        </is>
      </c>
      <c r="M52" s="49" t="n">
        <v>85</v>
      </c>
      <c r="N52" s="49" t="b">
        <v>0</v>
      </c>
      <c r="O52" s="49" t="b">
        <v>0</v>
      </c>
    </row>
    <row r="53" ht="64" customHeight="1" s="36">
      <c r="A53" s="49" t="inlineStr">
        <is>
          <t>R052</t>
        </is>
      </c>
      <c r="B53" s="49" t="n">
        <v>360</v>
      </c>
      <c r="C53" s="49" t="n">
        <v>936</v>
      </c>
      <c r="D53" s="49" t="inlineStr">
        <is>
          <t>Final_Evaluation</t>
        </is>
      </c>
      <c r="E53" s="47" t="inlineStr">
        <is>
          <t>Amazing sweatercoat!</t>
        </is>
      </c>
      <c r="F53" s="47" t="inlineStr">
        <is>
          <t>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is>
      </c>
      <c r="G53" s="49" t="n">
        <v>4</v>
      </c>
      <c r="H53" s="49" t="n">
        <v>1</v>
      </c>
      <c r="I53" s="49" t="n">
        <v>17</v>
      </c>
      <c r="J53" s="49" t="inlineStr">
        <is>
          <t>General Petite</t>
        </is>
      </c>
      <c r="K53" s="49" t="inlineStr">
        <is>
          <t>Tops</t>
        </is>
      </c>
      <c r="L53" s="49" t="inlineStr">
        <is>
          <t>Sweaters</t>
        </is>
      </c>
      <c r="M53" s="49" t="n">
        <v>499</v>
      </c>
      <c r="N53" s="49" t="b">
        <v>0</v>
      </c>
      <c r="O53" s="49" t="b">
        <v>1</v>
      </c>
    </row>
    <row r="54" ht="64" customHeight="1" s="36">
      <c r="A54" s="49" t="inlineStr">
        <is>
          <t>R053</t>
        </is>
      </c>
      <c r="B54" s="49" t="n">
        <v>391</v>
      </c>
      <c r="C54" s="49" t="n">
        <v>936</v>
      </c>
      <c r="D54" s="49" t="inlineStr">
        <is>
          <t>Final_Evaluation</t>
        </is>
      </c>
      <c r="E54" s="47" t="inlineStr">
        <is>
          <t>Love love love!</t>
        </is>
      </c>
      <c r="F54" s="47" t="inlineStr">
        <is>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is>
      </c>
      <c r="G54" s="49" t="n">
        <v>5</v>
      </c>
      <c r="H54" s="49" t="n">
        <v>1</v>
      </c>
      <c r="I54" s="49" t="n">
        <v>1</v>
      </c>
      <c r="J54" s="49" t="inlineStr">
        <is>
          <t>General</t>
        </is>
      </c>
      <c r="K54" s="49" t="inlineStr">
        <is>
          <t>Tops</t>
        </is>
      </c>
      <c r="L54" s="49" t="inlineStr">
        <is>
          <t>Sweaters</t>
        </is>
      </c>
      <c r="M54" s="49" t="n">
        <v>426</v>
      </c>
      <c r="N54" s="49" t="b">
        <v>1</v>
      </c>
      <c r="O54" s="49" t="b">
        <v>1</v>
      </c>
    </row>
    <row r="55" ht="64" customHeight="1" s="36">
      <c r="A55" s="49" t="inlineStr">
        <is>
          <t>R054</t>
        </is>
      </c>
      <c r="B55" s="49" t="n">
        <v>409</v>
      </c>
      <c r="C55" s="49" t="n">
        <v>936</v>
      </c>
      <c r="D55" s="49" t="inlineStr">
        <is>
          <t>Final_Evaluation</t>
        </is>
      </c>
      <c r="E55" s="47" t="inlineStr">
        <is>
          <t>Sweet casual</t>
        </is>
      </c>
      <c r="F55" s="47" t="inlineStr">
        <is>
          <t>Adorable sweater with a loose knit that helps slim down my man-back appearance. cut is tapered to the body but with a soft flare at the bottom hem. not clingy, very soft fabric doesn't accentuate bulges so i am happy about it's forgiving silhouette.</t>
        </is>
      </c>
      <c r="G55" s="49" t="n">
        <v>5</v>
      </c>
      <c r="H55" s="49" t="n">
        <v>1</v>
      </c>
      <c r="I55" s="49" t="n">
        <v>0</v>
      </c>
      <c r="J55" s="49" t="inlineStr">
        <is>
          <t>General</t>
        </is>
      </c>
      <c r="K55" s="49" t="inlineStr">
        <is>
          <t>Tops</t>
        </is>
      </c>
      <c r="L55" s="49" t="inlineStr">
        <is>
          <t>Sweaters</t>
        </is>
      </c>
      <c r="M55" s="49" t="n">
        <v>249</v>
      </c>
      <c r="N55" s="49" t="b">
        <v>1</v>
      </c>
      <c r="O55" s="49" t="b">
        <v>1</v>
      </c>
    </row>
    <row r="56" ht="64" customHeight="1" s="36">
      <c r="A56" s="49" t="inlineStr">
        <is>
          <t>R055</t>
        </is>
      </c>
      <c r="B56" s="49" t="n">
        <v>940</v>
      </c>
      <c r="C56" s="49" t="n">
        <v>936</v>
      </c>
      <c r="D56" s="49" t="inlineStr">
        <is>
          <t>Final_Evaluation</t>
        </is>
      </c>
      <c r="E56" s="47" t="inlineStr">
        <is>
          <t>Gorgeous!!</t>
        </is>
      </c>
      <c r="F56" s="47" t="inlineStr">
        <is>
          <t>I purchased the coral version, and the color is wonderful and vibrant. it fit my daughter beautifully, and she is 5'10". i think she will be wearing this coat often, she loves it!!! she is 23 years old and has a professional job, so she will look the part.</t>
        </is>
      </c>
      <c r="G56" s="49" t="n">
        <v>5</v>
      </c>
      <c r="H56" s="49" t="n">
        <v>1</v>
      </c>
      <c r="I56" s="49" t="n">
        <v>0</v>
      </c>
      <c r="J56" s="49" t="inlineStr">
        <is>
          <t>General</t>
        </is>
      </c>
      <c r="K56" s="49" t="inlineStr">
        <is>
          <t>Tops</t>
        </is>
      </c>
      <c r="L56" s="49" t="inlineStr">
        <is>
          <t>Sweaters</t>
        </is>
      </c>
      <c r="M56" s="49" t="n">
        <v>256</v>
      </c>
      <c r="N56" s="49" t="b">
        <v>1</v>
      </c>
      <c r="O56" s="49" t="b">
        <v>1</v>
      </c>
    </row>
    <row r="57" ht="64" customHeight="1" s="36">
      <c r="A57" s="49" t="inlineStr">
        <is>
          <t>R056</t>
        </is>
      </c>
      <c r="B57" s="49" t="n">
        <v>977</v>
      </c>
      <c r="C57" s="49" t="n">
        <v>936</v>
      </c>
      <c r="D57" s="49" t="inlineStr">
        <is>
          <t>Final_Evaluation</t>
        </is>
      </c>
      <c r="E57" s="47" t="inlineStr">
        <is>
          <t>Warm and cozy</t>
        </is>
      </c>
      <c r="F57" s="47" t="inlineStr">
        <is>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is>
      </c>
      <c r="G57" s="49" t="n">
        <v>4</v>
      </c>
      <c r="H57" s="49" t="n">
        <v>1</v>
      </c>
      <c r="I57" s="49" t="n">
        <v>3</v>
      </c>
      <c r="J57" s="49" t="inlineStr">
        <is>
          <t>General</t>
        </is>
      </c>
      <c r="K57" s="49" t="inlineStr">
        <is>
          <t>Tops</t>
        </is>
      </c>
      <c r="L57" s="49" t="inlineStr">
        <is>
          <t>Sweaters</t>
        </is>
      </c>
      <c r="M57" s="49" t="n">
        <v>331</v>
      </c>
      <c r="N57" s="49" t="b">
        <v>0</v>
      </c>
      <c r="O57" s="49" t="b">
        <v>1</v>
      </c>
    </row>
    <row r="58" ht="64" customHeight="1" s="36">
      <c r="A58" s="49" t="inlineStr">
        <is>
          <t>R057</t>
        </is>
      </c>
      <c r="B58" s="49" t="n">
        <v>981</v>
      </c>
      <c r="C58" s="49" t="n">
        <v>936</v>
      </c>
      <c r="D58" s="49" t="inlineStr">
        <is>
          <t>Final_Evaluation</t>
        </is>
      </c>
      <c r="E58" s="47" t="inlineStr">
        <is>
          <t>Classic</t>
        </is>
      </c>
      <c r="F58" s="47" t="inlineStr">
        <is>
          <t>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t>
        </is>
      </c>
      <c r="G58" s="49" t="n">
        <v>5</v>
      </c>
      <c r="H58" s="49" t="n">
        <v>1</v>
      </c>
      <c r="I58" s="49" t="n">
        <v>0</v>
      </c>
      <c r="J58" s="49" t="inlineStr">
        <is>
          <t>General</t>
        </is>
      </c>
      <c r="K58" s="49" t="inlineStr">
        <is>
          <t>Tops</t>
        </is>
      </c>
      <c r="L58" s="49" t="inlineStr">
        <is>
          <t>Sweaters</t>
        </is>
      </c>
      <c r="M58" s="49" t="n">
        <v>351</v>
      </c>
      <c r="N58" s="49" t="b">
        <v>1</v>
      </c>
      <c r="O58" s="49" t="b">
        <v>1</v>
      </c>
    </row>
    <row r="59" ht="64" customHeight="1" s="36">
      <c r="A59" s="49" t="inlineStr">
        <is>
          <t>R058</t>
        </is>
      </c>
      <c r="B59" s="49" t="n">
        <v>983</v>
      </c>
      <c r="C59" s="49" t="n">
        <v>936</v>
      </c>
      <c r="D59" s="49" t="inlineStr">
        <is>
          <t>Final_Evaluation</t>
        </is>
      </c>
      <c r="E59" s="47" t="inlineStr">
        <is>
          <t>Soft, flattering, warm and versatile!</t>
        </is>
      </c>
      <c r="F59" s="47" t="inlineStr">
        <is>
          <t>I adore this sweater coat! i first bought the green color in my normal size online on a whim mostly due to the positive reviews. i was not disappointed at all! this sweater coat is soft boiled wool.. the green color is a deep forest that looks incredible with black, grays and berry colors. the fit appears to be magical. it manages to be both roomy and figure flattering, which is tricky with my figure (hourglass). i tend to need a defined waist, but somehow this coat manages to be very slimming</t>
        </is>
      </c>
      <c r="G59" s="49" t="n">
        <v>5</v>
      </c>
      <c r="H59" s="49" t="n">
        <v>1</v>
      </c>
      <c r="I59" s="49" t="n">
        <v>2</v>
      </c>
      <c r="J59" s="49" t="inlineStr">
        <is>
          <t>General</t>
        </is>
      </c>
      <c r="K59" s="49" t="inlineStr">
        <is>
          <t>Tops</t>
        </is>
      </c>
      <c r="L59" s="49" t="inlineStr">
        <is>
          <t>Sweaters</t>
        </is>
      </c>
      <c r="M59" s="49" t="n">
        <v>498</v>
      </c>
      <c r="N59" s="49" t="b">
        <v>1</v>
      </c>
      <c r="O59" s="49" t="b">
        <v>1</v>
      </c>
    </row>
    <row r="60" ht="64" customHeight="1" s="36">
      <c r="A60" s="49" t="inlineStr">
        <is>
          <t>R059</t>
        </is>
      </c>
      <c r="B60" s="49" t="n">
        <v>994</v>
      </c>
      <c r="C60" s="49" t="n">
        <v>936</v>
      </c>
      <c r="D60" s="49" t="inlineStr">
        <is>
          <t>Final_Evaluation</t>
        </is>
      </c>
      <c r="E60" s="47" t="n"/>
      <c r="F60" s="47" t="inlineStr">
        <is>
          <t>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t>
        </is>
      </c>
      <c r="G60" s="49" t="n">
        <v>3</v>
      </c>
      <c r="H60" s="49" t="n">
        <v>0</v>
      </c>
      <c r="I60" s="49" t="n">
        <v>0</v>
      </c>
      <c r="J60" s="49" t="inlineStr">
        <is>
          <t>General</t>
        </is>
      </c>
      <c r="K60" s="49" t="inlineStr">
        <is>
          <t>Tops</t>
        </is>
      </c>
      <c r="L60" s="49" t="inlineStr">
        <is>
          <t>Sweaters</t>
        </is>
      </c>
      <c r="M60" s="49" t="n">
        <v>348</v>
      </c>
      <c r="N60" s="49" t="b">
        <v>1</v>
      </c>
      <c r="O60" s="49" t="b">
        <v>1</v>
      </c>
    </row>
    <row r="61" ht="64" customHeight="1" s="36">
      <c r="A61" s="49" t="inlineStr">
        <is>
          <t>R060</t>
        </is>
      </c>
      <c r="B61" s="49" t="n">
        <v>997</v>
      </c>
      <c r="C61" s="49" t="n">
        <v>936</v>
      </c>
      <c r="D61" s="49" t="inlineStr">
        <is>
          <t>Final_Evaluation</t>
        </is>
      </c>
      <c r="E61" s="47" t="inlineStr">
        <is>
          <t>Gorgeous</t>
        </is>
      </c>
      <c r="F61" s="47" t="inlineStr">
        <is>
          <t>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is>
      </c>
      <c r="G61" s="49" t="n">
        <v>5</v>
      </c>
      <c r="H61" s="49" t="n">
        <v>1</v>
      </c>
      <c r="I61" s="49" t="n">
        <v>1</v>
      </c>
      <c r="J61" s="49" t="inlineStr">
        <is>
          <t>General</t>
        </is>
      </c>
      <c r="K61" s="49" t="inlineStr">
        <is>
          <t>Tops</t>
        </is>
      </c>
      <c r="L61" s="49" t="inlineStr">
        <is>
          <t>Sweaters</t>
        </is>
      </c>
      <c r="M61" s="49" t="n">
        <v>500</v>
      </c>
      <c r="N61" s="49" t="b">
        <v>1</v>
      </c>
      <c r="O61" s="49" t="b">
        <v>0</v>
      </c>
    </row>
    <row r="62" ht="64" customHeight="1" s="36">
      <c r="A62" s="49" t="inlineStr">
        <is>
          <t>R061</t>
        </is>
      </c>
      <c r="B62" s="49" t="n">
        <v>267</v>
      </c>
      <c r="C62" s="49" t="n">
        <v>984</v>
      </c>
      <c r="D62" s="49" t="inlineStr">
        <is>
          <t>Development</t>
        </is>
      </c>
      <c r="E62" s="47" t="inlineStr">
        <is>
          <t>Nice quality but too short for my tall frame</t>
        </is>
      </c>
      <c r="F62" s="47" t="inlineStr">
        <is>
          <t>Love the look and quality of this jacket. i&amp;amp;#39;d say it fits true to size but it is way too short for me (i&amp;amp;#39;m just under 6&amp;amp;#39; tall). wish these came in tall sizes!</t>
        </is>
      </c>
      <c r="G62" s="49" t="n">
        <v>4</v>
      </c>
      <c r="H62" s="49" t="n">
        <v>1</v>
      </c>
      <c r="I62" s="49" t="n">
        <v>0</v>
      </c>
      <c r="J62" s="49" t="inlineStr">
        <is>
          <t>General Petite</t>
        </is>
      </c>
      <c r="K62" s="49" t="inlineStr">
        <is>
          <t>Jackets</t>
        </is>
      </c>
      <c r="L62" s="49" t="inlineStr">
        <is>
          <t>Jackets</t>
        </is>
      </c>
      <c r="M62" s="49" t="n">
        <v>182</v>
      </c>
      <c r="N62" s="49" t="b">
        <v>1</v>
      </c>
      <c r="O62" s="49" t="b">
        <v>1</v>
      </c>
    </row>
    <row r="63" ht="64" customHeight="1" s="36">
      <c r="A63" s="49" t="inlineStr">
        <is>
          <t>R062</t>
        </is>
      </c>
      <c r="B63" s="49" t="n">
        <v>271</v>
      </c>
      <c r="C63" s="49" t="n">
        <v>984</v>
      </c>
      <c r="D63" s="49" t="inlineStr">
        <is>
          <t>Development</t>
        </is>
      </c>
      <c r="E63" s="47" t="inlineStr">
        <is>
          <t>Perfect jean jacket</t>
        </is>
      </c>
      <c r="F63" s="47" t="inlineStr">
        <is>
          <t>Per other reviewers, i sized up from a small to a medium and the jacket fits me just right with room for layers. it is short (cropped), but i like where it hits me and is versatile for jeans and dresses.</t>
        </is>
      </c>
      <c r="G63" s="49" t="n">
        <v>5</v>
      </c>
      <c r="H63" s="49" t="n">
        <v>1</v>
      </c>
      <c r="I63" s="49" t="n">
        <v>1</v>
      </c>
      <c r="J63" s="49" t="inlineStr">
        <is>
          <t>General Petite</t>
        </is>
      </c>
      <c r="K63" s="49" t="inlineStr">
        <is>
          <t>Jackets</t>
        </is>
      </c>
      <c r="L63" s="49" t="inlineStr">
        <is>
          <t>Jackets</t>
        </is>
      </c>
      <c r="M63" s="49" t="n">
        <v>203</v>
      </c>
      <c r="N63" s="49" t="b">
        <v>1</v>
      </c>
      <c r="O63" s="49" t="b">
        <v>0</v>
      </c>
    </row>
    <row r="64" ht="64" customHeight="1" s="36">
      <c r="A64" s="49" t="inlineStr">
        <is>
          <t>R063</t>
        </is>
      </c>
      <c r="B64" s="49" t="n">
        <v>289</v>
      </c>
      <c r="C64" s="49" t="n">
        <v>984</v>
      </c>
      <c r="D64" s="49" t="inlineStr">
        <is>
          <t>Development</t>
        </is>
      </c>
      <c r="E64" s="47" t="inlineStr">
        <is>
          <t>Almost perfect denim jacket</t>
        </is>
      </c>
      <c r="F64" s="47" t="inlineStr">
        <is>
          <t>Love this denim jacket (also have it in white) the reason i didn't give it 5 stars all around is the distressing is just a bit too much (none on the back which is kind of strange). i'd love it even more if it wasn't distressed at all, then it could be dressed up much more for work. but overall it's my favorite, great fit and a bit of stretch so very comfy. please make this in some other denim colors!</t>
        </is>
      </c>
      <c r="G64" s="49" t="n">
        <v>5</v>
      </c>
      <c r="H64" s="49" t="n">
        <v>1</v>
      </c>
      <c r="I64" s="49" t="n">
        <v>0</v>
      </c>
      <c r="J64" s="49" t="inlineStr">
        <is>
          <t>General Petite</t>
        </is>
      </c>
      <c r="K64" s="49" t="inlineStr">
        <is>
          <t>Jackets</t>
        </is>
      </c>
      <c r="L64" s="49" t="inlineStr">
        <is>
          <t>Jackets</t>
        </is>
      </c>
      <c r="M64" s="49" t="n">
        <v>403</v>
      </c>
      <c r="N64" s="49" t="b">
        <v>1</v>
      </c>
      <c r="O64" s="49" t="b">
        <v>0</v>
      </c>
    </row>
    <row r="65" ht="64" customHeight="1" s="36">
      <c r="A65" s="49" t="inlineStr">
        <is>
          <t>R064</t>
        </is>
      </c>
      <c r="B65" s="49" t="n">
        <v>291</v>
      </c>
      <c r="C65" s="49" t="n">
        <v>984</v>
      </c>
      <c r="D65" s="49" t="inlineStr">
        <is>
          <t>Development</t>
        </is>
      </c>
      <c r="E65" s="47" t="n"/>
      <c r="F65" s="47" t="inlineStr">
        <is>
          <t>Love it; the bit of stretch in the denim makes it less stiff than traditional denim.</t>
        </is>
      </c>
      <c r="G65" s="49" t="n">
        <v>5</v>
      </c>
      <c r="H65" s="49" t="n">
        <v>1</v>
      </c>
      <c r="I65" s="49" t="n">
        <v>0</v>
      </c>
      <c r="J65" s="49" t="inlineStr">
        <is>
          <t>General Petite</t>
        </is>
      </c>
      <c r="K65" s="49" t="inlineStr">
        <is>
          <t>Jackets</t>
        </is>
      </c>
      <c r="L65" s="49" t="inlineStr">
        <is>
          <t>Jackets</t>
        </is>
      </c>
      <c r="M65" s="49" t="n">
        <v>84</v>
      </c>
      <c r="N65" s="49" t="b">
        <v>0</v>
      </c>
      <c r="O65" s="49" t="b">
        <v>0</v>
      </c>
    </row>
    <row r="66" ht="64" customHeight="1" s="36">
      <c r="A66" s="49" t="inlineStr">
        <is>
          <t>R065</t>
        </is>
      </c>
      <c r="B66" s="49" t="n">
        <v>297</v>
      </c>
      <c r="C66" s="49" t="n">
        <v>984</v>
      </c>
      <c r="D66" s="49" t="inlineStr">
        <is>
          <t>Development</t>
        </is>
      </c>
      <c r="E66" s="47" t="inlineStr">
        <is>
          <t>My new favorite denim jacket</t>
        </is>
      </c>
      <c r="F66" s="47" t="inlineStr">
        <is>
          <t>I'm glad i listened to the other reviewers...i ordered a large instead of my usual medium. it's roomy enough for a sweater underneath. i love the denim! it's very soft and has some stretch. my other denim jackets are stiff even after years of washing. i also love the darker denim.</t>
        </is>
      </c>
      <c r="G66" s="49" t="n">
        <v>5</v>
      </c>
      <c r="H66" s="49" t="n">
        <v>1</v>
      </c>
      <c r="I66" s="49" t="n">
        <v>0</v>
      </c>
      <c r="J66" s="49" t="inlineStr">
        <is>
          <t>General Petite</t>
        </is>
      </c>
      <c r="K66" s="49" t="inlineStr">
        <is>
          <t>Jackets</t>
        </is>
      </c>
      <c r="L66" s="49" t="inlineStr">
        <is>
          <t>Jackets</t>
        </is>
      </c>
      <c r="M66" s="49" t="n">
        <v>281</v>
      </c>
      <c r="N66" s="49" t="b">
        <v>1</v>
      </c>
      <c r="O66" s="49" t="b">
        <v>1</v>
      </c>
    </row>
    <row r="67" ht="64" customHeight="1" s="36">
      <c r="A67" s="49" t="inlineStr">
        <is>
          <t>R066</t>
        </is>
      </c>
      <c r="B67" s="49" t="n">
        <v>299</v>
      </c>
      <c r="C67" s="49" t="n">
        <v>984</v>
      </c>
      <c r="D67" s="49" t="inlineStr">
        <is>
          <t>Development</t>
        </is>
      </c>
      <c r="E67" s="47" t="inlineStr">
        <is>
          <t>Favorite jean jacket</t>
        </is>
      </c>
      <c r="F67" s="47" t="inlineStr">
        <is>
          <t>I'm 5'4" 125 lbs ordered small. fits perfect. super soft denim. love the color love the worn in feel</t>
        </is>
      </c>
      <c r="G67" s="49" t="n">
        <v>5</v>
      </c>
      <c r="H67" s="49" t="n">
        <v>1</v>
      </c>
      <c r="I67" s="49" t="n">
        <v>0</v>
      </c>
      <c r="J67" s="49" t="inlineStr">
        <is>
          <t>General Petite</t>
        </is>
      </c>
      <c r="K67" s="49" t="inlineStr">
        <is>
          <t>Jackets</t>
        </is>
      </c>
      <c r="L67" s="49" t="inlineStr">
        <is>
          <t>Jackets</t>
        </is>
      </c>
      <c r="M67" s="49" t="n">
        <v>100</v>
      </c>
      <c r="N67" s="49" t="b">
        <v>1</v>
      </c>
      <c r="O67" s="49" t="b">
        <v>1</v>
      </c>
    </row>
    <row r="68" ht="64" customHeight="1" s="36">
      <c r="A68" s="49" t="inlineStr">
        <is>
          <t>R067</t>
        </is>
      </c>
      <c r="B68" s="49" t="n">
        <v>305</v>
      </c>
      <c r="C68" s="49" t="n">
        <v>984</v>
      </c>
      <c r="D68" s="49" t="inlineStr">
        <is>
          <t>Development</t>
        </is>
      </c>
      <c r="E68" s="47" t="inlineStr">
        <is>
          <t>Adorable!</t>
        </is>
      </c>
      <c r="F68" s="47" t="inlineStr">
        <is>
          <t>I love this little jean jacket! i am petite and usually get a xxsp , but went for a size up. i'm glad i did. it fits a little snug. the color is true to the photo and the material is a medium to heavy denim. the arm length in the petite size is perfect for me. i love this - over maxi dresses, tanks, etc... adorable jacket - great buy!!</t>
        </is>
      </c>
      <c r="G68" s="49" t="n">
        <v>5</v>
      </c>
      <c r="H68" s="49" t="n">
        <v>1</v>
      </c>
      <c r="I68" s="49" t="n">
        <v>0</v>
      </c>
      <c r="J68" s="49" t="inlineStr">
        <is>
          <t>General Petite</t>
        </is>
      </c>
      <c r="K68" s="49" t="inlineStr">
        <is>
          <t>Jackets</t>
        </is>
      </c>
      <c r="L68" s="49" t="inlineStr">
        <is>
          <t>Jackets</t>
        </is>
      </c>
      <c r="M68" s="49" t="n">
        <v>337</v>
      </c>
      <c r="N68" s="49" t="b">
        <v>1</v>
      </c>
      <c r="O68" s="49" t="b">
        <v>1</v>
      </c>
    </row>
    <row r="69" ht="64" customHeight="1" s="36">
      <c r="A69" s="49" t="inlineStr">
        <is>
          <t>R068</t>
        </is>
      </c>
      <c r="B69" s="49" t="n">
        <v>308</v>
      </c>
      <c r="C69" s="49" t="n">
        <v>984</v>
      </c>
      <c r="D69" s="49" t="inlineStr">
        <is>
          <t>Development</t>
        </is>
      </c>
      <c r="E69" s="47" t="inlineStr">
        <is>
          <t>Too distressed</t>
        </is>
      </c>
      <c r="F69" s="47" t="inlineStr">
        <is>
          <t>First i ordered a m. i'm normally a 8-10. the m was too small so i returned and ordered a lg. the lg fits great but there is a huge area of distressing on the shoulder that will turn into a hole. i love this jacket but cannot keep it in its condition. hopefully i will make it to the store soon (there are none w/in an hour of me) and look before i buy.</t>
        </is>
      </c>
      <c r="G69" s="49" t="n">
        <v>4</v>
      </c>
      <c r="H69" s="49" t="n">
        <v>1</v>
      </c>
      <c r="I69" s="49" t="n">
        <v>2</v>
      </c>
      <c r="J69" s="49" t="inlineStr">
        <is>
          <t>General Petite</t>
        </is>
      </c>
      <c r="K69" s="49" t="inlineStr">
        <is>
          <t>Jackets</t>
        </is>
      </c>
      <c r="L69" s="49" t="inlineStr">
        <is>
          <t>Jackets</t>
        </is>
      </c>
      <c r="M69" s="49" t="n">
        <v>353</v>
      </c>
      <c r="N69" s="49" t="b">
        <v>1</v>
      </c>
      <c r="O69" s="49" t="b">
        <v>0</v>
      </c>
    </row>
    <row r="70" ht="64" customHeight="1" s="36">
      <c r="A70" s="49" t="inlineStr">
        <is>
          <t>R069</t>
        </is>
      </c>
      <c r="B70" s="49" t="n">
        <v>530</v>
      </c>
      <c r="C70" s="49" t="n">
        <v>984</v>
      </c>
      <c r="D70" s="49" t="inlineStr">
        <is>
          <t>Development</t>
        </is>
      </c>
      <c r="E70" s="47" t="inlineStr">
        <is>
          <t>Top coat</t>
        </is>
      </c>
      <c r="F70" s="47" t="inlineStr">
        <is>
          <t>Top of the line! very well made and on sale to boot. i love the style and received a compliment from my sister when i wore it. i love the layered look.</t>
        </is>
      </c>
      <c r="G70" s="49" t="n">
        <v>5</v>
      </c>
      <c r="H70" s="49" t="n">
        <v>1</v>
      </c>
      <c r="I70" s="49" t="n">
        <v>0</v>
      </c>
      <c r="J70" s="49" t="inlineStr">
        <is>
          <t>General</t>
        </is>
      </c>
      <c r="K70" s="49" t="inlineStr">
        <is>
          <t>Jackets</t>
        </is>
      </c>
      <c r="L70" s="49" t="inlineStr">
        <is>
          <t>Jackets</t>
        </is>
      </c>
      <c r="M70" s="49" t="n">
        <v>151</v>
      </c>
      <c r="N70" s="49" t="b">
        <v>0</v>
      </c>
      <c r="O70" s="49" t="b">
        <v>0</v>
      </c>
    </row>
    <row r="71" ht="64" customHeight="1" s="36">
      <c r="A71" s="49" t="inlineStr">
        <is>
          <t>R070</t>
        </is>
      </c>
      <c r="B71" s="49" t="n">
        <v>541</v>
      </c>
      <c r="C71" s="49" t="n">
        <v>984</v>
      </c>
      <c r="D71" s="49" t="inlineStr">
        <is>
          <t>Development</t>
        </is>
      </c>
      <c r="E71" s="47" t="n"/>
      <c r="F71" s="47" t="inlineStr">
        <is>
          <t>Love love love this jacket!! great spring and fall weather.. very stylish!!</t>
        </is>
      </c>
      <c r="G71" s="49" t="n">
        <v>5</v>
      </c>
      <c r="H71" s="49" t="n">
        <v>1</v>
      </c>
      <c r="I71" s="49" t="n">
        <v>0</v>
      </c>
      <c r="J71" s="49" t="inlineStr">
        <is>
          <t>General</t>
        </is>
      </c>
      <c r="K71" s="49" t="inlineStr">
        <is>
          <t>Jackets</t>
        </is>
      </c>
      <c r="L71" s="49" t="inlineStr">
        <is>
          <t>Jackets</t>
        </is>
      </c>
      <c r="M71" s="49" t="n">
        <v>75</v>
      </c>
      <c r="N71" s="49" t="b">
        <v>0</v>
      </c>
      <c r="O71" s="49" t="b">
        <v>0</v>
      </c>
    </row>
    <row r="72" ht="64" customHeight="1" s="36">
      <c r="A72" s="49" t="inlineStr">
        <is>
          <t>R071</t>
        </is>
      </c>
      <c r="B72" s="49" t="n">
        <v>148</v>
      </c>
      <c r="C72" s="49" t="n">
        <v>1008</v>
      </c>
      <c r="D72" s="49" t="inlineStr">
        <is>
          <t>Development</t>
        </is>
      </c>
      <c r="E72" s="47" t="inlineStr">
        <is>
          <t>Very pretty</t>
        </is>
      </c>
      <c r="F72" s="47" t="inlineStr">
        <is>
          <t>This is a very pretty skirt and the colors are better in real life. sizing was mostly true to size for me, slightly tight in the waist but i have a thicker waist compared to my hips. i'm 5'7 and 138# and ordered a size 4 (i usually size up to a 6 with retailer pencil skirts.) a 6 probably would have fit as well, especially in the waist but didn't want it too big in the hips. length was perfect, to my knees.</t>
        </is>
      </c>
      <c r="G72" s="49" t="n">
        <v>5</v>
      </c>
      <c r="H72" s="49" t="n">
        <v>1</v>
      </c>
      <c r="I72" s="49" t="n">
        <v>0</v>
      </c>
      <c r="J72" s="49" t="inlineStr">
        <is>
          <t>General</t>
        </is>
      </c>
      <c r="K72" s="49" t="inlineStr">
        <is>
          <t>Bottoms</t>
        </is>
      </c>
      <c r="L72" s="49" t="inlineStr">
        <is>
          <t>Skirts</t>
        </is>
      </c>
      <c r="M72" s="49" t="n">
        <v>410</v>
      </c>
      <c r="N72" s="49" t="b">
        <v>1</v>
      </c>
      <c r="O72" s="49" t="b">
        <v>0</v>
      </c>
    </row>
    <row r="73" ht="64" customHeight="1" s="36">
      <c r="A73" s="49" t="inlineStr">
        <is>
          <t>R072</t>
        </is>
      </c>
      <c r="B73" s="49" t="n">
        <v>163</v>
      </c>
      <c r="C73" s="49" t="n">
        <v>1008</v>
      </c>
      <c r="D73" s="49" t="inlineStr">
        <is>
          <t>Development</t>
        </is>
      </c>
      <c r="E73" s="47" t="inlineStr">
        <is>
          <t>Classy and cute</t>
        </is>
      </c>
      <c r="F73" s="47" t="inlineStr">
        <is>
          <t>The online picture does not do this skirt justice. it's very pretty and unique in design. i think it should be worn with a tighter shirt that is tucked in unlike the picture. this is truly a pretty pencil skirt.</t>
        </is>
      </c>
      <c r="G73" s="49" t="n">
        <v>5</v>
      </c>
      <c r="H73" s="49" t="n">
        <v>1</v>
      </c>
      <c r="I73" s="49" t="n">
        <v>7</v>
      </c>
      <c r="J73" s="49" t="inlineStr">
        <is>
          <t>General</t>
        </is>
      </c>
      <c r="K73" s="49" t="inlineStr">
        <is>
          <t>Bottoms</t>
        </is>
      </c>
      <c r="L73" s="49" t="inlineStr">
        <is>
          <t>Skirts</t>
        </is>
      </c>
      <c r="M73" s="49" t="n">
        <v>211</v>
      </c>
      <c r="N73" s="49" t="b">
        <v>0</v>
      </c>
      <c r="O73" s="49" t="b">
        <v>0</v>
      </c>
    </row>
    <row r="74" ht="64" customHeight="1" s="36">
      <c r="A74" s="49" t="inlineStr">
        <is>
          <t>R073</t>
        </is>
      </c>
      <c r="B74" s="49" t="n">
        <v>478</v>
      </c>
      <c r="C74" s="49" t="n">
        <v>1008</v>
      </c>
      <c r="D74" s="49" t="inlineStr">
        <is>
          <t>Development</t>
        </is>
      </c>
      <c r="E74" s="47" t="inlineStr">
        <is>
          <t>Cute but too large</t>
        </is>
      </c>
      <c r="F74" s="47" t="inlineStr">
        <is>
          <t>Bought this in an xs and i liked the style of the skirt. it was long enough to wear to work. however the waist was too large and would not stay up on my waist. returned.</t>
        </is>
      </c>
      <c r="G74" s="49" t="n">
        <v>4</v>
      </c>
      <c r="H74" s="49" t="n">
        <v>1</v>
      </c>
      <c r="I74" s="49" t="n">
        <v>0</v>
      </c>
      <c r="J74" s="49" t="inlineStr">
        <is>
          <t>General</t>
        </is>
      </c>
      <c r="K74" s="49" t="inlineStr">
        <is>
          <t>Bottoms</t>
        </is>
      </c>
      <c r="L74" s="49" t="inlineStr">
        <is>
          <t>Skirts</t>
        </is>
      </c>
      <c r="M74" s="49" t="n">
        <v>169</v>
      </c>
      <c r="N74" s="49" t="b">
        <v>1</v>
      </c>
      <c r="O74" s="49" t="b">
        <v>0</v>
      </c>
    </row>
    <row r="75" ht="64" customHeight="1" s="36">
      <c r="A75" s="49" t="inlineStr">
        <is>
          <t>R074</t>
        </is>
      </c>
      <c r="B75" s="49" t="n">
        <v>658</v>
      </c>
      <c r="C75" s="49" t="n">
        <v>1008</v>
      </c>
      <c r="D75" s="49" t="inlineStr">
        <is>
          <t>Development</t>
        </is>
      </c>
      <c r="E75" s="47" t="n"/>
      <c r="F75" s="47" t="inlineStr">
        <is>
          <t>Love the fabric fit and cut of this skirt. it hits at just the perfect spot but runs a little large and is more flattering when sizing down (atleast on me) .</t>
        </is>
      </c>
      <c r="G75" s="49" t="n">
        <v>5</v>
      </c>
      <c r="H75" s="49" t="n">
        <v>1</v>
      </c>
      <c r="I75" s="49" t="n">
        <v>1</v>
      </c>
      <c r="J75" s="49" t="inlineStr">
        <is>
          <t>General</t>
        </is>
      </c>
      <c r="K75" s="49" t="inlineStr">
        <is>
          <t>Bottoms</t>
        </is>
      </c>
      <c r="L75" s="49" t="inlineStr">
        <is>
          <t>Skirts</t>
        </is>
      </c>
      <c r="M75" s="49" t="n">
        <v>157</v>
      </c>
      <c r="N75" s="49" t="b">
        <v>1</v>
      </c>
      <c r="O75" s="49" t="b">
        <v>1</v>
      </c>
    </row>
    <row r="76" ht="64" customHeight="1" s="36">
      <c r="A76" s="49" t="inlineStr">
        <is>
          <t>R075</t>
        </is>
      </c>
      <c r="B76" s="49" t="n">
        <v>670</v>
      </c>
      <c r="C76" s="49" t="n">
        <v>1008</v>
      </c>
      <c r="D76" s="49" t="inlineStr">
        <is>
          <t>Development</t>
        </is>
      </c>
      <c r="E76" s="47" t="inlineStr">
        <is>
          <t>Cute but didn't work for me :(</t>
        </is>
      </c>
      <c r="F76" s="47" t="inlineStr">
        <is>
          <t>I really wanted this skirt to work but it didn't look very flattering on me. a great midi length and very cool pattern, so hopefully will work for others!</t>
        </is>
      </c>
      <c r="G76" s="49" t="n">
        <v>3</v>
      </c>
      <c r="H76" s="49" t="n">
        <v>0</v>
      </c>
      <c r="I76" s="49" t="n">
        <v>0</v>
      </c>
      <c r="J76" s="49" t="inlineStr">
        <is>
          <t>General</t>
        </is>
      </c>
      <c r="K76" s="49" t="inlineStr">
        <is>
          <t>Bottoms</t>
        </is>
      </c>
      <c r="L76" s="49" t="inlineStr">
        <is>
          <t>Skirts</t>
        </is>
      </c>
      <c r="M76" s="49" t="n">
        <v>154</v>
      </c>
      <c r="N76" s="49" t="b">
        <v>1</v>
      </c>
      <c r="O76" s="49" t="b">
        <v>0</v>
      </c>
    </row>
    <row r="77" ht="64" customHeight="1" s="36">
      <c r="A77" s="49" t="inlineStr">
        <is>
          <t>R076</t>
        </is>
      </c>
      <c r="B77" s="49" t="n">
        <v>897</v>
      </c>
      <c r="C77" s="49" t="n">
        <v>1008</v>
      </c>
      <c r="D77" s="49" t="inlineStr">
        <is>
          <t>Development</t>
        </is>
      </c>
      <c r="E77" s="47" t="inlineStr">
        <is>
          <t>Great for tall ladies</t>
        </is>
      </c>
      <c r="F77" s="47" t="inlineStr">
        <is>
          <t>I like the skirt. that said it is going to the tailor to have some of the fullness taken out. just a lot of material going on, and heavier than you might have imagined. i will wear it fall &amp; winter with white &amp; navy cardigans.</t>
        </is>
      </c>
      <c r="G77" s="49" t="n">
        <v>4</v>
      </c>
      <c r="H77" s="49" t="n">
        <v>1</v>
      </c>
      <c r="I77" s="49" t="n">
        <v>0</v>
      </c>
      <c r="J77" s="49" t="inlineStr">
        <is>
          <t>General Petite</t>
        </is>
      </c>
      <c r="K77" s="49" t="inlineStr">
        <is>
          <t>Bottoms</t>
        </is>
      </c>
      <c r="L77" s="49" t="inlineStr">
        <is>
          <t>Skirts</t>
        </is>
      </c>
      <c r="M77" s="49" t="n">
        <v>226</v>
      </c>
      <c r="N77" s="49" t="b">
        <v>0</v>
      </c>
      <c r="O77" s="49" t="b">
        <v>1</v>
      </c>
    </row>
    <row r="78" ht="64" customHeight="1" s="36">
      <c r="A78" s="49" t="inlineStr">
        <is>
          <t>R077</t>
        </is>
      </c>
      <c r="B78" s="49" t="n">
        <v>900</v>
      </c>
      <c r="C78" s="49" t="n">
        <v>1008</v>
      </c>
      <c r="D78" s="49" t="inlineStr">
        <is>
          <t>Development</t>
        </is>
      </c>
      <c r="E78" s="47" t="inlineStr">
        <is>
          <t>Nice skirt!</t>
        </is>
      </c>
      <c r="F78" s="47" t="inlineStr">
        <is>
          <t>When i saw this online, i thought it was going to be a thin, summery kind of skirt with a fall pattern to it. it is not thin and wispy, but lined with a nicely weighted navy material and the fabric of the skirt is kind of a thick cotton with a nice swing to it. definitely would work for the fall and cool days or evenings. the zipper pockets look cool too, would definitely recommend!</t>
        </is>
      </c>
      <c r="G78" s="49" t="n">
        <v>5</v>
      </c>
      <c r="H78" s="49" t="n">
        <v>1</v>
      </c>
      <c r="I78" s="49" t="n">
        <v>11</v>
      </c>
      <c r="J78" s="49" t="inlineStr">
        <is>
          <t>General Petite</t>
        </is>
      </c>
      <c r="K78" s="49" t="inlineStr">
        <is>
          <t>Bottoms</t>
        </is>
      </c>
      <c r="L78" s="49" t="inlineStr">
        <is>
          <t>Skirts</t>
        </is>
      </c>
      <c r="M78" s="49" t="n">
        <v>385</v>
      </c>
      <c r="N78" s="49" t="b">
        <v>0</v>
      </c>
      <c r="O78" s="49" t="b">
        <v>1</v>
      </c>
    </row>
    <row r="79" ht="64" customHeight="1" s="36">
      <c r="A79" s="49" t="inlineStr">
        <is>
          <t>R078</t>
        </is>
      </c>
      <c r="B79" s="49" t="n">
        <v>907</v>
      </c>
      <c r="C79" s="49" t="n">
        <v>1008</v>
      </c>
      <c r="D79" s="49" t="inlineStr">
        <is>
          <t>Development</t>
        </is>
      </c>
      <c r="E79" s="47" t="inlineStr">
        <is>
          <t>Georgeous skirt</t>
        </is>
      </c>
      <c r="F79" s="47" t="inlineStr">
        <is>
          <t>I love the fabric, since it's fall wasn't expecting it to be light. but its not heavy either. just the right balance. this is one of those classics. i love the collage like pattern of the fabric. the fit is true to size and looks great with bootie/boots. (dressed up or down).</t>
        </is>
      </c>
      <c r="G79" s="49" t="n">
        <v>5</v>
      </c>
      <c r="H79" s="49" t="n">
        <v>1</v>
      </c>
      <c r="I79" s="49" t="n">
        <v>2</v>
      </c>
      <c r="J79" s="49" t="inlineStr">
        <is>
          <t>General Petite</t>
        </is>
      </c>
      <c r="K79" s="49" t="inlineStr">
        <is>
          <t>Bottoms</t>
        </is>
      </c>
      <c r="L79" s="49" t="inlineStr">
        <is>
          <t>Skirts</t>
        </is>
      </c>
      <c r="M79" s="49" t="n">
        <v>276</v>
      </c>
      <c r="N79" s="49" t="b">
        <v>1</v>
      </c>
      <c r="O79" s="49" t="b">
        <v>1</v>
      </c>
    </row>
    <row r="80" ht="64" customHeight="1" s="36">
      <c r="A80" s="49" t="inlineStr">
        <is>
          <t>R079</t>
        </is>
      </c>
      <c r="B80" s="49" t="n">
        <v>909</v>
      </c>
      <c r="C80" s="49" t="n">
        <v>1008</v>
      </c>
      <c r="D80" s="49" t="inlineStr">
        <is>
          <t>Development</t>
        </is>
      </c>
      <c r="E80" s="47" t="inlineStr">
        <is>
          <t>Lovely and colorful</t>
        </is>
      </c>
      <c r="F80" s="47" t="inlineStr">
        <is>
          <t>I really like this skirt - so colorful! the interesting pattern and multiple colors will make this a great fall skirt. i can wear it with pink, burgundy, gray, white, black, and probably many more. can't wait for the temps to drop!</t>
        </is>
      </c>
      <c r="G80" s="49" t="n">
        <v>4</v>
      </c>
      <c r="H80" s="49" t="n">
        <v>1</v>
      </c>
      <c r="I80" s="49" t="n">
        <v>2</v>
      </c>
      <c r="J80" s="49" t="inlineStr">
        <is>
          <t>General Petite</t>
        </is>
      </c>
      <c r="K80" s="49" t="inlineStr">
        <is>
          <t>Bottoms</t>
        </is>
      </c>
      <c r="L80" s="49" t="inlineStr">
        <is>
          <t>Skirts</t>
        </is>
      </c>
      <c r="M80" s="49" t="n">
        <v>231</v>
      </c>
      <c r="N80" s="49" t="b">
        <v>0</v>
      </c>
      <c r="O80" s="49" t="b">
        <v>0</v>
      </c>
    </row>
    <row r="81" ht="64" customHeight="1" s="36">
      <c r="A81" s="49" t="inlineStr">
        <is>
          <t>R080</t>
        </is>
      </c>
      <c r="B81" s="49" t="n">
        <v>922</v>
      </c>
      <c r="C81" s="49" t="n">
        <v>1008</v>
      </c>
      <c r="D81" s="49" t="inlineStr">
        <is>
          <t>Development</t>
        </is>
      </c>
      <c r="E81" s="47" t="inlineStr">
        <is>
          <t>Very pretty</t>
        </is>
      </c>
      <c r="F81" s="47" t="inlineStr">
        <is>
          <t>I got this skirt in the dove grey, which is a lovely shade of light grey and silver. it has one layer underneath that is a sparkly silver netting which is really pretty that you can't see in the photo. the other layer is the grey netting. it has a very soft light grey silky cotton liner. i got the petite xs and it fits just as it should. i'm 5'3, 102. the skirt looks just as it is pictured, i think it can be dressy or dressed down a bit. very very pretty and well made. i'm happy with the purchas</t>
        </is>
      </c>
      <c r="G81" s="49" t="n">
        <v>5</v>
      </c>
      <c r="H81" s="49" t="n">
        <v>1</v>
      </c>
      <c r="I81" s="49" t="n">
        <v>10</v>
      </c>
      <c r="J81" s="49" t="inlineStr">
        <is>
          <t>General Petite</t>
        </is>
      </c>
      <c r="K81" s="49" t="inlineStr">
        <is>
          <t>Bottoms</t>
        </is>
      </c>
      <c r="L81" s="49" t="inlineStr">
        <is>
          <t>Skirts</t>
        </is>
      </c>
      <c r="M81" s="49" t="n">
        <v>500</v>
      </c>
      <c r="N81" s="49" t="b">
        <v>1</v>
      </c>
      <c r="O81" s="49" t="b">
        <v>1</v>
      </c>
    </row>
    <row r="82" ht="64" customHeight="1" s="36">
      <c r="A82" s="49" t="inlineStr">
        <is>
          <t>R081</t>
        </is>
      </c>
      <c r="B82" s="49" t="n">
        <v>117</v>
      </c>
      <c r="C82" s="49" t="n">
        <v>1078</v>
      </c>
      <c r="D82" s="49" t="inlineStr">
        <is>
          <t>Final_Evaluation</t>
        </is>
      </c>
      <c r="E82" s="47" t="n"/>
      <c r="F82" s="47" t="inlineStr">
        <is>
          <t>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t>
        </is>
      </c>
      <c r="G82" s="49" t="n">
        <v>5</v>
      </c>
      <c r="H82" s="49" t="n">
        <v>1</v>
      </c>
      <c r="I82" s="49" t="n">
        <v>2</v>
      </c>
      <c r="J82" s="49" t="inlineStr">
        <is>
          <t>General Petite</t>
        </is>
      </c>
      <c r="K82" s="49" t="inlineStr">
        <is>
          <t>Dresses</t>
        </is>
      </c>
      <c r="L82" s="49" t="inlineStr">
        <is>
          <t>Dresses</t>
        </is>
      </c>
      <c r="M82" s="49" t="n">
        <v>294</v>
      </c>
      <c r="N82" s="49" t="b">
        <v>1</v>
      </c>
      <c r="O82" s="49" t="b">
        <v>1</v>
      </c>
    </row>
    <row r="83" ht="64" customHeight="1" s="36">
      <c r="A83" s="49" t="inlineStr">
        <is>
          <t>R082</t>
        </is>
      </c>
      <c r="B83" s="49" t="n">
        <v>486</v>
      </c>
      <c r="C83" s="49" t="n">
        <v>1078</v>
      </c>
      <c r="D83" s="49" t="inlineStr">
        <is>
          <t>Final_Evaluation</t>
        </is>
      </c>
      <c r="E83" s="47" t="inlineStr">
        <is>
          <t>Fun mix of colors in the grey version</t>
        </is>
      </c>
      <c r="F83" s="47" t="inlineStr">
        <is>
          <t>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t>
        </is>
      </c>
      <c r="G83" s="49" t="n">
        <v>5</v>
      </c>
      <c r="H83" s="49" t="n">
        <v>1</v>
      </c>
      <c r="I83" s="49" t="n">
        <v>1</v>
      </c>
      <c r="J83" s="49" t="inlineStr">
        <is>
          <t>General</t>
        </is>
      </c>
      <c r="K83" s="49" t="inlineStr">
        <is>
          <t>Dresses</t>
        </is>
      </c>
      <c r="L83" s="49" t="inlineStr">
        <is>
          <t>Dresses</t>
        </is>
      </c>
      <c r="M83" s="49" t="n">
        <v>500</v>
      </c>
      <c r="N83" s="49" t="b">
        <v>1</v>
      </c>
      <c r="O83" s="49" t="b">
        <v>1</v>
      </c>
    </row>
    <row r="84" ht="64" customHeight="1" s="36">
      <c r="A84" s="49" t="inlineStr">
        <is>
          <t>R083</t>
        </is>
      </c>
      <c r="B84" s="49" t="n">
        <v>508</v>
      </c>
      <c r="C84" s="49" t="n">
        <v>1078</v>
      </c>
      <c r="D84" s="49" t="inlineStr">
        <is>
          <t>Final_Evaluation</t>
        </is>
      </c>
      <c r="E84" s="47" t="inlineStr">
        <is>
          <t>Comfy, cute, and colorful.</t>
        </is>
      </c>
      <c r="F84" s="47" t="inlineStr">
        <is>
          <t>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t>
        </is>
      </c>
      <c r="G84" s="49" t="n">
        <v>4</v>
      </c>
      <c r="H84" s="49" t="n">
        <v>1</v>
      </c>
      <c r="I84" s="49" t="n">
        <v>0</v>
      </c>
      <c r="J84" s="49" t="inlineStr">
        <is>
          <t>General</t>
        </is>
      </c>
      <c r="K84" s="49" t="inlineStr">
        <is>
          <t>Dresses</t>
        </is>
      </c>
      <c r="L84" s="49" t="inlineStr">
        <is>
          <t>Dresses</t>
        </is>
      </c>
      <c r="M84" s="49" t="n">
        <v>394</v>
      </c>
      <c r="N84" s="49" t="b">
        <v>1</v>
      </c>
      <c r="O84" s="49" t="b">
        <v>1</v>
      </c>
    </row>
    <row r="85" ht="64" customHeight="1" s="36">
      <c r="A85" s="49" t="inlineStr">
        <is>
          <t>R084</t>
        </is>
      </c>
      <c r="B85" s="49" t="n">
        <v>509</v>
      </c>
      <c r="C85" s="49" t="n">
        <v>1078</v>
      </c>
      <c r="D85" s="49" t="inlineStr">
        <is>
          <t>Final_Evaluation</t>
        </is>
      </c>
      <c r="E85" s="47" t="inlineStr">
        <is>
          <t>Best fitting dress</t>
        </is>
      </c>
      <c r="F85" s="47" t="inlineStr">
        <is>
          <t>Love love this dress. fits so great. i normally wouldn't have picked this dress. more preppy than my normal style. fits amazing. my hubby has complimented me more on this dress than anything else i've ever owned. the fit &amp; flare style is super flattering i felt it fit tts.</t>
        </is>
      </c>
      <c r="G85" s="49" t="n">
        <v>5</v>
      </c>
      <c r="H85" s="49" t="n">
        <v>1</v>
      </c>
      <c r="I85" s="49" t="n">
        <v>8</v>
      </c>
      <c r="J85" s="49" t="inlineStr">
        <is>
          <t>General</t>
        </is>
      </c>
      <c r="K85" s="49" t="inlineStr">
        <is>
          <t>Dresses</t>
        </is>
      </c>
      <c r="L85" s="49" t="inlineStr">
        <is>
          <t>Dresses</t>
        </is>
      </c>
      <c r="M85" s="49" t="n">
        <v>273</v>
      </c>
      <c r="N85" s="49" t="b">
        <v>1</v>
      </c>
      <c r="O85" s="49" t="b">
        <v>0</v>
      </c>
    </row>
    <row r="86" ht="64" customHeight="1" s="36">
      <c r="A86" s="49" t="inlineStr">
        <is>
          <t>R085</t>
        </is>
      </c>
      <c r="B86" s="49" t="n">
        <v>529</v>
      </c>
      <c r="C86" s="49" t="n">
        <v>1078</v>
      </c>
      <c r="D86" s="49" t="inlineStr">
        <is>
          <t>Final_Evaluation</t>
        </is>
      </c>
      <c r="E86" s="47" t="inlineStr">
        <is>
          <t>Great dress or tunic</t>
        </is>
      </c>
      <c r="F86" s="47" t="inlineStr">
        <is>
          <t>The colors are more vibrant than the photo indicates. indeed, though, the dress is very short and does pair well with leggings and boots. i like that the dress highlights my hour glass figure, but with a generous nod to my curves with the accommodating skater skirt. love it! will be easy to wear casually and work appropriate, too. the sale price was a huge bonus.</t>
        </is>
      </c>
      <c r="G86" s="49" t="n">
        <v>5</v>
      </c>
      <c r="H86" s="49" t="n">
        <v>1</v>
      </c>
      <c r="I86" s="49" t="n">
        <v>1</v>
      </c>
      <c r="J86" s="49" t="inlineStr">
        <is>
          <t>General</t>
        </is>
      </c>
      <c r="K86" s="49" t="inlineStr">
        <is>
          <t>Dresses</t>
        </is>
      </c>
      <c r="L86" s="49" t="inlineStr">
        <is>
          <t>Dresses</t>
        </is>
      </c>
      <c r="M86" s="49" t="n">
        <v>365</v>
      </c>
      <c r="N86" s="49" t="b">
        <v>1</v>
      </c>
      <c r="O86" s="49" t="b">
        <v>0</v>
      </c>
    </row>
    <row r="87" ht="64" customHeight="1" s="36">
      <c r="A87" s="49" t="inlineStr">
        <is>
          <t>R086</t>
        </is>
      </c>
      <c r="B87" s="49" t="n">
        <v>540</v>
      </c>
      <c r="C87" s="49" t="n">
        <v>1078</v>
      </c>
      <c r="D87" s="49" t="inlineStr">
        <is>
          <t>Final_Evaluation</t>
        </is>
      </c>
      <c r="E87" s="47" t="inlineStr">
        <is>
          <t>Flattering</t>
        </is>
      </c>
      <c r="F87" s="47" t="inlineStr">
        <is>
          <t>This dress is comfortable as well as flattering, which does not happen very often! looks good with navy tights too!</t>
        </is>
      </c>
      <c r="G87" s="49" t="n">
        <v>5</v>
      </c>
      <c r="H87" s="49" t="n">
        <v>1</v>
      </c>
      <c r="I87" s="49" t="n">
        <v>0</v>
      </c>
      <c r="J87" s="49" t="inlineStr">
        <is>
          <t>General</t>
        </is>
      </c>
      <c r="K87" s="49" t="inlineStr">
        <is>
          <t>Dresses</t>
        </is>
      </c>
      <c r="L87" s="49" t="inlineStr">
        <is>
          <t>Dresses</t>
        </is>
      </c>
      <c r="M87" s="49" t="n">
        <v>115</v>
      </c>
      <c r="N87" s="49" t="b">
        <v>0</v>
      </c>
      <c r="O87" s="49" t="b">
        <v>1</v>
      </c>
    </row>
    <row r="88" ht="64" customHeight="1" s="36">
      <c r="A88" s="49" t="inlineStr">
        <is>
          <t>R087</t>
        </is>
      </c>
      <c r="B88" s="49" t="n">
        <v>543</v>
      </c>
      <c r="C88" s="49" t="n">
        <v>1078</v>
      </c>
      <c r="D88" s="49" t="inlineStr">
        <is>
          <t>Final_Evaluation</t>
        </is>
      </c>
      <c r="E88" s="47" t="inlineStr">
        <is>
          <t>Cute dress</t>
        </is>
      </c>
      <c r="F88" s="47" t="inlineStr">
        <is>
          <t>Based on some reviews i decided to get the regular xs, even tho i am an xs petite (5'2, 107 lb, 32c) i found the fit to be flattering -- fitted enough but not too loose or tight. the length is perfect and work appropriate, and the material has some weight to it. the grey one is colorful and cute. the only problem is the bagginess of the arms -- very unflattering. if i push the sleeves up, it hides the bagginess a little, but i would like to have the option to wear the dress with long sleeves., s</t>
        </is>
      </c>
      <c r="G88" s="49" t="n">
        <v>4</v>
      </c>
      <c r="H88" s="49" t="n">
        <v>1</v>
      </c>
      <c r="I88" s="49" t="n">
        <v>2</v>
      </c>
      <c r="J88" s="49" t="inlineStr">
        <is>
          <t>General</t>
        </is>
      </c>
      <c r="K88" s="49" t="inlineStr">
        <is>
          <t>Dresses</t>
        </is>
      </c>
      <c r="L88" s="49" t="inlineStr">
        <is>
          <t>Dresses</t>
        </is>
      </c>
      <c r="M88" s="49" t="n">
        <v>500</v>
      </c>
      <c r="N88" s="49" t="b">
        <v>1</v>
      </c>
      <c r="O88" s="49" t="b">
        <v>1</v>
      </c>
    </row>
    <row r="89" ht="64" customHeight="1" s="36">
      <c r="A89" s="49" t="inlineStr">
        <is>
          <t>R088</t>
        </is>
      </c>
      <c r="B89" s="49" t="n">
        <v>551</v>
      </c>
      <c r="C89" s="49" t="n">
        <v>1078</v>
      </c>
      <c r="D89" s="49" t="inlineStr">
        <is>
          <t>Final_Evaluation</t>
        </is>
      </c>
      <c r="E89" s="47" t="n"/>
      <c r="F89" s="47" t="inlineStr">
        <is>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is>
      </c>
      <c r="G89" s="49" t="n">
        <v>2</v>
      </c>
      <c r="H89" s="49" t="n">
        <v>1</v>
      </c>
      <c r="I89" s="49" t="n">
        <v>0</v>
      </c>
      <c r="J89" s="49" t="inlineStr">
        <is>
          <t>General</t>
        </is>
      </c>
      <c r="K89" s="49" t="inlineStr">
        <is>
          <t>Dresses</t>
        </is>
      </c>
      <c r="L89" s="49" t="inlineStr">
        <is>
          <t>Dresses</t>
        </is>
      </c>
      <c r="M89" s="49" t="n">
        <v>500</v>
      </c>
      <c r="N89" s="49" t="b">
        <v>1</v>
      </c>
      <c r="O89" s="49" t="b">
        <v>1</v>
      </c>
    </row>
    <row r="90" ht="64" customHeight="1" s="36">
      <c r="A90" s="49" t="inlineStr">
        <is>
          <t>R089</t>
        </is>
      </c>
      <c r="B90" s="49" t="n">
        <v>602</v>
      </c>
      <c r="C90" s="49" t="n">
        <v>1078</v>
      </c>
      <c r="D90" s="49" t="inlineStr">
        <is>
          <t>Final_Evaluation</t>
        </is>
      </c>
      <c r="E90" s="47" t="inlineStr">
        <is>
          <t>Gorgeous quality knit</t>
        </is>
      </c>
      <c r="F90" s="47" t="inlineStr">
        <is>
          <t>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t>
        </is>
      </c>
      <c r="G90" s="49" t="n">
        <v>5</v>
      </c>
      <c r="H90" s="49" t="n">
        <v>1</v>
      </c>
      <c r="I90" s="49" t="n">
        <v>0</v>
      </c>
      <c r="J90" s="49" t="inlineStr">
        <is>
          <t>General Petite</t>
        </is>
      </c>
      <c r="K90" s="49" t="inlineStr">
        <is>
          <t>Dresses</t>
        </is>
      </c>
      <c r="L90" s="49" t="inlineStr">
        <is>
          <t>Dresses</t>
        </is>
      </c>
      <c r="M90" s="49" t="n">
        <v>499</v>
      </c>
      <c r="N90" s="49" t="b">
        <v>1</v>
      </c>
      <c r="O90" s="49" t="b">
        <v>1</v>
      </c>
    </row>
    <row r="91" ht="64" customHeight="1" s="36">
      <c r="A91" s="49" t="inlineStr">
        <is>
          <t>R090</t>
        </is>
      </c>
      <c r="B91" s="49" t="n">
        <v>846</v>
      </c>
      <c r="C91" s="49" t="n">
        <v>1078</v>
      </c>
      <c r="D91" s="49" t="inlineStr">
        <is>
          <t>Final_Evaluation</t>
        </is>
      </c>
      <c r="E91" s="47" t="inlineStr">
        <is>
          <t>Great dress!!</t>
        </is>
      </c>
      <c r="F91" s="47" t="inlineStr">
        <is>
          <t>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is>
      </c>
      <c r="G91" s="49" t="n">
        <v>5</v>
      </c>
      <c r="H91" s="49" t="n">
        <v>1</v>
      </c>
      <c r="I91" s="49" t="n">
        <v>5</v>
      </c>
      <c r="J91" s="49" t="inlineStr">
        <is>
          <t>General Petite</t>
        </is>
      </c>
      <c r="K91" s="49" t="inlineStr">
        <is>
          <t>Dresses</t>
        </is>
      </c>
      <c r="L91" s="49" t="inlineStr">
        <is>
          <t>Dresses</t>
        </is>
      </c>
      <c r="M91" s="49" t="n">
        <v>500</v>
      </c>
      <c r="N91" s="49" t="b">
        <v>1</v>
      </c>
      <c r="O91" s="49" t="b">
        <v>1</v>
      </c>
    </row>
    <row r="92" ht="64" customHeight="1" s="36">
      <c r="A92" s="49" t="inlineStr">
        <is>
          <t>R091</t>
        </is>
      </c>
      <c r="B92" s="49" t="n">
        <v>410</v>
      </c>
      <c r="C92" s="49" t="n">
        <v>1094</v>
      </c>
      <c r="D92" s="49" t="inlineStr">
        <is>
          <t>Final_Evaluation</t>
        </is>
      </c>
      <c r="E92" s="47" t="inlineStr">
        <is>
          <t>A perfect investment</t>
        </is>
      </c>
      <c r="F92" s="47" t="inlineStr">
        <is>
          <t>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t>
        </is>
      </c>
      <c r="G92" s="49" t="n">
        <v>5</v>
      </c>
      <c r="H92" s="49" t="n">
        <v>1</v>
      </c>
      <c r="I92" s="49" t="n">
        <v>1</v>
      </c>
      <c r="J92" s="49" t="inlineStr">
        <is>
          <t>General</t>
        </is>
      </c>
      <c r="K92" s="49" t="inlineStr">
        <is>
          <t>Dresses</t>
        </is>
      </c>
      <c r="L92" s="49" t="inlineStr">
        <is>
          <t>Dresses</t>
        </is>
      </c>
      <c r="M92" s="49" t="n">
        <v>502</v>
      </c>
      <c r="N92" s="49" t="b">
        <v>0</v>
      </c>
      <c r="O92" s="49" t="b">
        <v>1</v>
      </c>
    </row>
    <row r="93" ht="64" customHeight="1" s="36">
      <c r="A93" s="49" t="inlineStr">
        <is>
          <t>R092</t>
        </is>
      </c>
      <c r="B93" s="49" t="n">
        <v>563</v>
      </c>
      <c r="C93" s="49" t="n">
        <v>1094</v>
      </c>
      <c r="D93" s="49" t="inlineStr">
        <is>
          <t>Final_Evaluation</t>
        </is>
      </c>
      <c r="E93" s="47" t="inlineStr">
        <is>
          <t>Prety dress that fits true to size</t>
        </is>
      </c>
      <c r="F93" s="47" t="inlineStr">
        <is>
          <t>Wow the mixed reviews on this dress would make someone not get it at all. it is true to size. i'm a 6 and the six fit as a glove on me. the material is not at all stiff. i actually wished it was a bit more structured. but that didn't bother me. i was able to close the zipper by myself. i'm 5'7" 144lb 36a. the top feels confortable to me as well. i don't considered myself curve like jlo but i have hips. the dress does not make me feel bigger at all. the only down side is that it looks more expens</t>
        </is>
      </c>
      <c r="G93" s="49" t="n">
        <v>4</v>
      </c>
      <c r="H93" s="49" t="n">
        <v>1</v>
      </c>
      <c r="I93" s="49" t="n">
        <v>1</v>
      </c>
      <c r="J93" s="49" t="inlineStr">
        <is>
          <t>General</t>
        </is>
      </c>
      <c r="K93" s="49" t="inlineStr">
        <is>
          <t>Dresses</t>
        </is>
      </c>
      <c r="L93" s="49" t="inlineStr">
        <is>
          <t>Dresses</t>
        </is>
      </c>
      <c r="M93" s="49" t="n">
        <v>500</v>
      </c>
      <c r="N93" s="49" t="b">
        <v>1</v>
      </c>
      <c r="O93" s="49" t="b">
        <v>1</v>
      </c>
    </row>
    <row r="94" ht="64" customHeight="1" s="36">
      <c r="A94" s="49" t="inlineStr">
        <is>
          <t>R093</t>
        </is>
      </c>
      <c r="B94" s="49" t="n">
        <v>578</v>
      </c>
      <c r="C94" s="49" t="n">
        <v>1094</v>
      </c>
      <c r="D94" s="49" t="inlineStr">
        <is>
          <t>Final_Evaluation</t>
        </is>
      </c>
      <c r="E94" s="47" t="inlineStr">
        <is>
          <t>Not for us chesty girls!</t>
        </is>
      </c>
      <c r="F94" s="47" t="inlineStr">
        <is>
          <t>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is>
      </c>
      <c r="G94" s="49" t="n">
        <v>3</v>
      </c>
      <c r="H94" s="49" t="n">
        <v>0</v>
      </c>
      <c r="I94" s="49" t="n">
        <v>3</v>
      </c>
      <c r="J94" s="49" t="inlineStr">
        <is>
          <t>General</t>
        </is>
      </c>
      <c r="K94" s="49" t="inlineStr">
        <is>
          <t>Dresses</t>
        </is>
      </c>
      <c r="L94" s="49" t="inlineStr">
        <is>
          <t>Dresses</t>
        </is>
      </c>
      <c r="M94" s="49" t="n">
        <v>500</v>
      </c>
      <c r="N94" s="49" t="b">
        <v>1</v>
      </c>
      <c r="O94" s="49" t="b">
        <v>1</v>
      </c>
    </row>
    <row r="95" ht="64" customHeight="1" s="36">
      <c r="A95" s="49" t="inlineStr">
        <is>
          <t>R094</t>
        </is>
      </c>
      <c r="B95" s="49" t="n">
        <v>586</v>
      </c>
      <c r="C95" s="49" t="n">
        <v>1094</v>
      </c>
      <c r="D95" s="49" t="inlineStr">
        <is>
          <t>Final_Evaluation</t>
        </is>
      </c>
      <c r="E95" s="47" t="inlineStr">
        <is>
          <t>Love this dress</t>
        </is>
      </c>
      <c r="F95" s="47" t="inlineStr">
        <is>
          <t>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t>
        </is>
      </c>
      <c r="G95" s="49" t="n">
        <v>4</v>
      </c>
      <c r="H95" s="49" t="n">
        <v>1</v>
      </c>
      <c r="I95" s="49" t="n">
        <v>0</v>
      </c>
      <c r="J95" s="49" t="inlineStr">
        <is>
          <t>General</t>
        </is>
      </c>
      <c r="K95" s="49" t="inlineStr">
        <is>
          <t>Dresses</t>
        </is>
      </c>
      <c r="L95" s="49" t="inlineStr">
        <is>
          <t>Dresses</t>
        </is>
      </c>
      <c r="M95" s="49" t="n">
        <v>404</v>
      </c>
      <c r="N95" s="49" t="b">
        <v>1</v>
      </c>
      <c r="O95" s="49" t="b">
        <v>1</v>
      </c>
    </row>
    <row r="96" ht="64" customHeight="1" s="36">
      <c r="A96" s="49" t="inlineStr">
        <is>
          <t>R095</t>
        </is>
      </c>
      <c r="B96" s="49" t="n">
        <v>587</v>
      </c>
      <c r="C96" s="49" t="n">
        <v>1094</v>
      </c>
      <c r="D96" s="49" t="inlineStr">
        <is>
          <t>Final_Evaluation</t>
        </is>
      </c>
      <c r="E96" s="47" t="inlineStr">
        <is>
          <t>Classy little dress</t>
        </is>
      </c>
      <c r="F96" s="47" t="inlineStr">
        <is>
          <t>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t>
        </is>
      </c>
      <c r="G96" s="49" t="n">
        <v>4</v>
      </c>
      <c r="H96" s="49" t="n">
        <v>1</v>
      </c>
      <c r="I96" s="49" t="n">
        <v>0</v>
      </c>
      <c r="J96" s="49" t="inlineStr">
        <is>
          <t>General</t>
        </is>
      </c>
      <c r="K96" s="49" t="inlineStr">
        <is>
          <t>Dresses</t>
        </is>
      </c>
      <c r="L96" s="49" t="inlineStr">
        <is>
          <t>Dresses</t>
        </is>
      </c>
      <c r="M96" s="49" t="n">
        <v>495</v>
      </c>
      <c r="N96" s="49" t="b">
        <v>1</v>
      </c>
      <c r="O96" s="49" t="b">
        <v>0</v>
      </c>
    </row>
    <row r="97" ht="64" customHeight="1" s="36">
      <c r="A97" s="49" t="inlineStr">
        <is>
          <t>R096</t>
        </is>
      </c>
      <c r="B97" s="49" t="n">
        <v>941</v>
      </c>
      <c r="C97" s="49" t="n">
        <v>1094</v>
      </c>
      <c r="D97" s="49" t="inlineStr">
        <is>
          <t>Final_Evaluation</t>
        </is>
      </c>
      <c r="E97" s="47" t="n"/>
      <c r="F97" s="47" t="inlineStr">
        <is>
          <t>I'm in love, i'm in love. this dress was gifted to me, because i was gawking at it so often. i love it!!! i am petite, 5'3" 118 pounds and i could do either the small or extra small. the small was a little more comfortable, because the extra small was a bit tight in the arms-but i went with the extra small anyway. in both cases the neckline showed a small amount of tasteful cleavage and i felt like a model with how many people complimented me on it. many people even took the extra step in compl</t>
        </is>
      </c>
      <c r="G97" s="49" t="n">
        <v>5</v>
      </c>
      <c r="H97" s="49" t="n">
        <v>1</v>
      </c>
      <c r="I97" s="49" t="n">
        <v>6</v>
      </c>
      <c r="J97" s="49" t="inlineStr">
        <is>
          <t>General</t>
        </is>
      </c>
      <c r="K97" s="49" t="inlineStr">
        <is>
          <t>Dresses</t>
        </is>
      </c>
      <c r="L97" s="49" t="inlineStr">
        <is>
          <t>Dresses</t>
        </is>
      </c>
      <c r="M97" s="49" t="n">
        <v>499</v>
      </c>
      <c r="N97" s="49" t="b">
        <v>1</v>
      </c>
      <c r="O97" s="49" t="b">
        <v>1</v>
      </c>
    </row>
    <row r="98" ht="64" customHeight="1" s="36">
      <c r="A98" s="49" t="inlineStr">
        <is>
          <t>R097</t>
        </is>
      </c>
      <c r="B98" s="49" t="n">
        <v>972</v>
      </c>
      <c r="C98" s="49" t="n">
        <v>1094</v>
      </c>
      <c r="D98" s="49" t="inlineStr">
        <is>
          <t>Final_Evaluation</t>
        </is>
      </c>
      <c r="E98" s="47" t="n"/>
      <c r="F98" s="47" t="inlineStr">
        <is>
          <t>Very cheap looking material. looks cheap to cost $158.</t>
        </is>
      </c>
      <c r="G98" s="49" t="n">
        <v>1</v>
      </c>
      <c r="H98" s="49" t="n">
        <v>0</v>
      </c>
      <c r="I98" s="49" t="n">
        <v>1</v>
      </c>
      <c r="J98" s="49" t="inlineStr">
        <is>
          <t>General</t>
        </is>
      </c>
      <c r="K98" s="49" t="inlineStr">
        <is>
          <t>Dresses</t>
        </is>
      </c>
      <c r="L98" s="49" t="inlineStr">
        <is>
          <t>Dresses</t>
        </is>
      </c>
      <c r="M98" s="49" t="n">
        <v>54</v>
      </c>
      <c r="N98" s="49" t="b">
        <v>0</v>
      </c>
      <c r="O98" s="49" t="b">
        <v>1</v>
      </c>
    </row>
    <row r="99" ht="64" customHeight="1" s="36">
      <c r="A99" s="49" t="inlineStr">
        <is>
          <t>R098</t>
        </is>
      </c>
      <c r="B99" s="49" t="n">
        <v>975</v>
      </c>
      <c r="C99" s="49" t="n">
        <v>1094</v>
      </c>
      <c r="D99" s="49" t="inlineStr">
        <is>
          <t>Final_Evaluation</t>
        </is>
      </c>
      <c r="E99" s="47" t="inlineStr">
        <is>
          <t>A winner!</t>
        </is>
      </c>
      <c r="F99" s="47" t="inlineStr">
        <is>
          <t>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is>
      </c>
      <c r="G99" s="49" t="n">
        <v>5</v>
      </c>
      <c r="H99" s="49" t="n">
        <v>1</v>
      </c>
      <c r="I99" s="49" t="n">
        <v>6</v>
      </c>
      <c r="J99" s="49" t="inlineStr">
        <is>
          <t>General</t>
        </is>
      </c>
      <c r="K99" s="49" t="inlineStr">
        <is>
          <t>Dresses</t>
        </is>
      </c>
      <c r="L99" s="49" t="inlineStr">
        <is>
          <t>Dresses</t>
        </is>
      </c>
      <c r="M99" s="49" t="n">
        <v>354</v>
      </c>
      <c r="N99" s="49" t="b">
        <v>1</v>
      </c>
      <c r="O99" s="49" t="b">
        <v>1</v>
      </c>
    </row>
    <row r="100" ht="64" customHeight="1" s="36">
      <c r="A100" s="49" t="inlineStr">
        <is>
          <t>R099</t>
        </is>
      </c>
      <c r="B100" s="49" t="n">
        <v>980</v>
      </c>
      <c r="C100" s="49" t="n">
        <v>1094</v>
      </c>
      <c r="D100" s="49" t="inlineStr">
        <is>
          <t>Final_Evaluation</t>
        </is>
      </c>
      <c r="E100" s="47" t="inlineStr">
        <is>
          <t>Washed out looking</t>
        </is>
      </c>
      <c r="F100" s="47" t="inlineStr">
        <is>
          <t>The colors in this dress are much less vibrant in person. the scoop of the neckline is very wide and deep. i know others have posted that this is a great dress for work, but not in my workplace.</t>
        </is>
      </c>
      <c r="G100" s="49" t="n">
        <v>3</v>
      </c>
      <c r="H100" s="49" t="n">
        <v>0</v>
      </c>
      <c r="I100" s="49" t="n">
        <v>0</v>
      </c>
      <c r="J100" s="49" t="inlineStr">
        <is>
          <t>General</t>
        </is>
      </c>
      <c r="K100" s="49" t="inlineStr">
        <is>
          <t>Dresses</t>
        </is>
      </c>
      <c r="L100" s="49" t="inlineStr">
        <is>
          <t>Dresses</t>
        </is>
      </c>
      <c r="M100" s="49" t="n">
        <v>194</v>
      </c>
      <c r="N100" s="49" t="b">
        <v>0</v>
      </c>
      <c r="O100" s="49" t="b">
        <v>0</v>
      </c>
    </row>
    <row r="101" ht="64" customHeight="1" s="36">
      <c r="A101" s="49" t="inlineStr">
        <is>
          <t>R100</t>
        </is>
      </c>
      <c r="B101" s="49" t="n">
        <v>984</v>
      </c>
      <c r="C101" s="49" t="n">
        <v>1094</v>
      </c>
      <c r="D101" s="49" t="inlineStr">
        <is>
          <t>Final_Evaluation</t>
        </is>
      </c>
      <c r="E101" s="47" t="inlineStr">
        <is>
          <t>My holiday dress</t>
        </is>
      </c>
      <c r="F101" s="47" t="inlineStr">
        <is>
          <t>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t>
        </is>
      </c>
      <c r="G101" s="49" t="n">
        <v>5</v>
      </c>
      <c r="H101" s="49" t="n">
        <v>1</v>
      </c>
      <c r="I101" s="49" t="n">
        <v>9</v>
      </c>
      <c r="J101" s="49" t="inlineStr">
        <is>
          <t>General</t>
        </is>
      </c>
      <c r="K101" s="49" t="inlineStr">
        <is>
          <t>Dresses</t>
        </is>
      </c>
      <c r="L101" s="49" t="inlineStr">
        <is>
          <t>Dresses</t>
        </is>
      </c>
      <c r="M101" s="49" t="n">
        <v>500</v>
      </c>
      <c r="N101" s="49" t="b">
        <v>1</v>
      </c>
      <c r="O101" s="49" t="b">
        <v>1</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7F8C8D"/>
    <outlinePr summaryBelow="1" summaryRight="1"/>
    <pageSetUpPr/>
  </sheetPr>
  <dimension ref="A1:B28"/>
  <sheetViews>
    <sheetView showGridLines="0" workbookViewId="0">
      <selection activeCell="A1" sqref="A1"/>
    </sheetView>
  </sheetViews>
  <sheetFormatPr baseColWidth="8" defaultRowHeight="15"/>
  <cols>
    <col width="24" customWidth="1" style="36" min="1" max="1"/>
    <col width="110" customWidth="1" style="36" min="2" max="2"/>
  </cols>
  <sheetData>
    <row r="1">
      <c r="A1" s="1" t="n"/>
      <c r="B1" s="1" t="n"/>
    </row>
    <row r="2">
      <c r="A2" s="2" t="inlineStr">
        <is>
          <t>How to use this evaluation key</t>
        </is>
      </c>
      <c r="B2" s="1" t="n"/>
    </row>
    <row r="3">
      <c r="A3" s="3" t="inlineStr">
        <is>
          <t>This workbook fixes the questions, evidence IDs, and evidence-only answers before the retrieval systems are run.</t>
        </is>
      </c>
      <c r="B3" s="1" t="n"/>
    </row>
    <row r="4">
      <c r="A4" s="1" t="n"/>
      <c r="B4" s="1" t="n"/>
    </row>
    <row r="5" ht="66" customHeight="1" s="36">
      <c r="A5" s="57" t="inlineStr">
        <is>
          <t>Purpose</t>
        </is>
      </c>
      <c r="B5" s="67" t="inlineStr">
        <is>
          <t>Evaluate a keyword baseline and a semantic RAG retriever on the same 30 questions.</t>
        </is>
      </c>
    </row>
    <row r="6" ht="66" customHeight="1" s="36">
      <c r="A6" s="58" t="inlineStr">
        <is>
          <t>Question mix</t>
        </is>
      </c>
      <c r="B6" s="68" t="inlineStr">
        <is>
          <t>15 answerable fit questions, 10 answerable quality questions, and 5 unanswerable negative controls.</t>
        </is>
      </c>
    </row>
    <row r="7" ht="66" customHeight="1" s="36">
      <c r="A7" s="58" t="inlineStr">
        <is>
          <t>Product split</t>
        </is>
      </c>
      <c r="B7" s="68" t="inlineStr">
        <is>
          <t>Questions use only Final_Evaluation Clothing IDs: 836, 850, 862, 895, 936, 1078, and 1094. Development IDs 886, 984, and 1008 are excluded.</t>
        </is>
      </c>
    </row>
    <row r="8" ht="66" customHeight="1" s="36">
      <c r="A8" s="58" t="inlineStr">
        <is>
          <t>Gold evidence</t>
        </is>
      </c>
      <c r="B8" s="68" t="inlineStr">
        <is>
          <t>Gold_Review_IDs contains one to three known-relevant reviews. Evidence_Audit reproduces the exact source text for every gold ID.</t>
        </is>
      </c>
    </row>
    <row r="9" ht="66" customHeight="1" s="36">
      <c r="A9" s="58" t="inlineStr">
        <is>
          <t>Retrieval@3</t>
        </is>
      </c>
      <c r="B9" s="68" t="inlineStr">
        <is>
          <t>Score the 25 answerable questions. Recall@3 = gold IDs retrieved in the top 3 divided by all gold IDs for that question. Also report Hit@3: whether at least one gold ID appears in the top 3.</t>
        </is>
      </c>
    </row>
    <row r="10" ht="66" customHeight="1" s="36">
      <c r="A10" s="58" t="inlineStr">
        <is>
          <t>Grounded answer</t>
        </is>
      </c>
      <c r="B10" s="68" t="inlineStr">
        <is>
          <t>The wording may differ from Gold_Answer, but every claim must be supported by the cited retrieved reviews. Any unsupported fact fails the no-unsupported-facts check.</t>
        </is>
      </c>
    </row>
    <row r="11" ht="66" customHeight="1" s="36">
      <c r="A11" s="58" t="inlineStr">
        <is>
          <t>Abstention</t>
        </is>
      </c>
      <c r="B11" s="68" t="inlineStr">
        <is>
          <t>Score the 5 unanswerable questions separately. A correct result is exactly the I-don't-know action, without adding an unsupported answer.</t>
        </is>
      </c>
    </row>
    <row r="12" ht="66" customHeight="1" s="36">
      <c r="A12" s="58" t="inlineStr">
        <is>
          <t>Freeze rule</t>
        </is>
      </c>
      <c r="B12" s="68" t="inlineStr">
        <is>
          <t>Do not add, remove, or relabel gold evidence after reviewing keyword or RAG outputs. If a confirmed annotation error is corrected, record the change and rerun both methods.</t>
        </is>
      </c>
    </row>
    <row r="13" ht="66" customHeight="1" s="36">
      <c r="A13" s="58" t="inlineStr">
        <is>
          <t>Source corpus</t>
        </is>
      </c>
      <c r="B13" s="68" t="inlineStr">
        <is>
          <t>Clothing_Review_Preprocessed_100.xlsx supplied by the user. Corpus_100 is copied into this workbook for portability.</t>
        </is>
      </c>
    </row>
    <row r="14" ht="66" customHeight="1" s="36">
      <c r="A14" s="58" t="inlineStr">
        <is>
          <t>Assignment guidance</t>
        </is>
      </c>
      <c r="B14" s="68" t="inlineStr">
        <is>
          <t>PE6201_Project_Proposal_Watchouts.pdf supplied by the user. It requires a named baseline, fixed ground truth before testing, a measurable abstention rule, and portable data.</t>
        </is>
      </c>
    </row>
    <row r="15" ht="66" customHeight="1" s="36">
      <c r="A15" s="59" t="inlineStr">
        <is>
          <t>Instructor feedback</t>
        </is>
      </c>
      <c r="B15" s="69" t="inlineStr">
        <is>
          <t>The supplied feedback screenshot resolves the proposal inconsistency in favor of 100 reviews and a fixed 30-question key, scored with retrieval@3 and no-unsupported-facts, plus the keyword filter on the same questions.</t>
        </is>
      </c>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8">
      <c r="A28" t="inlineStr">
        <is>
          <t>Supplementary paraphrase questions (Q31-Q38)</t>
        </is>
      </c>
      <c r="B28" t="inlineStr">
        <is>
          <t>Added after the original 30-question run. These 8 questions use synonym/paraphrase wording with low lexical overlap with the gold reviews, designed to test whether semantic retrieval (embeddings) outperforms keyword TF-IDF on cross-vocabulary matching. Original Q01-Q30 results remain unchanged and should be reported separately.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2026-09-25T20:11:28Z</dcterms:created>
  <dcterms:modified xmlns:dcterms="http://purl.org/dc/terms/" xmlns:xsi="http://www.w3.org/2001/XMLSchema-instance" xsi:type="dcterms:W3CDTF">2026-09-25T22:04:35Z</dcterms:modified>
</cp:coreProperties>
</file>